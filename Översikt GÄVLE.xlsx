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45752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45752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45752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45752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45752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45752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45752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45752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45752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45752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45752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45752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45752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45752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45752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45752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45752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45752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45752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45752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45752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45752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45752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45752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45752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45752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45752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45752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45752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45752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45752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45752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45752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45752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45752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45752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45752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45752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45752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45752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45752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HYPERLINK("https://klasma.github.io/Logging_212180/artfynd/A 13727-2025 artfynd.xlsx", "A 13727-2025")</f>
        <v/>
      </c>
      <c r="T42">
        <f>HYPERLINK("https://klasma.github.io/Logging_212180/kartor/A 13727-2025 karta.png", "A 13727-2025")</f>
        <v/>
      </c>
      <c r="V42">
        <f>HYPERLINK("https://klasma.github.io/Logging_212180/klagomål/A 13727-2025 FSC-klagomål.docx", "A 13727-2025")</f>
        <v/>
      </c>
      <c r="W42">
        <f>HYPERLINK("https://klasma.github.io/Logging_212180/klagomålsmail/A 13727-2025 FSC-klagomål mail.docx", "A 13727-2025")</f>
        <v/>
      </c>
      <c r="X42">
        <f>HYPERLINK("https://klasma.github.io/Logging_212180/tillsyn/A 13727-2025 tillsynsbegäran.docx", "A 13727-2025")</f>
        <v/>
      </c>
      <c r="Y42">
        <f>HYPERLINK("https://klasma.github.io/Logging_212180/tillsynsmail/A 13727-2025 tillsynsbegäran mail.docx", "A 13727-2025")</f>
        <v/>
      </c>
      <c r="Z42">
        <f>HYPERLINK("https://klasma.github.io/Logging_212180/fåglar/A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45752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HYPERLINK("https://klasma.github.io/Logging_212180/artfynd/A 14374-2025 artfynd.xlsx", "A 14374-2025")</f>
        <v/>
      </c>
      <c r="T43">
        <f>HYPERLINK("https://klasma.github.io/Logging_212180/kartor/A 14374-2025 karta.png", "A 14374-2025")</f>
        <v/>
      </c>
      <c r="V43">
        <f>HYPERLINK("https://klasma.github.io/Logging_212180/klagomål/A 14374-2025 FSC-klagomål.docx", "A 14374-2025")</f>
        <v/>
      </c>
      <c r="W43">
        <f>HYPERLINK("https://klasma.github.io/Logging_212180/klagomålsmail/A 14374-2025 FSC-klagomål mail.docx", "A 14374-2025")</f>
        <v/>
      </c>
      <c r="X43">
        <f>HYPERLINK("https://klasma.github.io/Logging_212180/tillsyn/A 14374-2025 tillsynsbegäran.docx", "A 14374-2025")</f>
        <v/>
      </c>
      <c r="Y43">
        <f>HYPERLINK("https://klasma.github.io/Logging_212180/tillsynsmail/A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45752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45752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45752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45752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45752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45752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45752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45752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45752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45752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45752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45752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45752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45752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45752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45752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45752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45752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45752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45752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45752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45752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45752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45752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45752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45752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45752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45752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45752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45752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45752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45752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45752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45752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45752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45752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45752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45752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45752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45752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HYPERLINK("https://klasma.github.io/Logging_212180/artfynd/A 11411-2025 artfynd.xlsx", "A 11411-2025")</f>
        <v/>
      </c>
      <c r="T83">
        <f>HYPERLINK("https://klasma.github.io/Logging_212180/kartor/A 11411-2025 karta.png", "A 11411-2025")</f>
        <v/>
      </c>
      <c r="V83">
        <f>HYPERLINK("https://klasma.github.io/Logging_212180/klagomål/A 11411-2025 FSC-klagomål.docx", "A 11411-2025")</f>
        <v/>
      </c>
      <c r="W83">
        <f>HYPERLINK("https://klasma.github.io/Logging_212180/klagomålsmail/A 11411-2025 FSC-klagomål mail.docx", "A 11411-2025")</f>
        <v/>
      </c>
      <c r="X83">
        <f>HYPERLINK("https://klasma.github.io/Logging_212180/tillsyn/A 11411-2025 tillsynsbegäran.docx", "A 11411-2025")</f>
        <v/>
      </c>
      <c r="Y83">
        <f>HYPERLINK("https://klasma.github.io/Logging_212180/tillsynsmail/A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45752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HYPERLINK("https://klasma.github.io/Logging_212180/artfynd/A 12338-2025 artfynd.xlsx", "A 12338-2025")</f>
        <v/>
      </c>
      <c r="T84">
        <f>HYPERLINK("https://klasma.github.io/Logging_212180/kartor/A 12338-2025 karta.png", "A 12338-2025")</f>
        <v/>
      </c>
      <c r="V84">
        <f>HYPERLINK("https://klasma.github.io/Logging_212180/klagomål/A 12338-2025 FSC-klagomål.docx", "A 12338-2025")</f>
        <v/>
      </c>
      <c r="W84">
        <f>HYPERLINK("https://klasma.github.io/Logging_212180/klagomålsmail/A 12338-2025 FSC-klagomål mail.docx", "A 12338-2025")</f>
        <v/>
      </c>
      <c r="X84">
        <f>HYPERLINK("https://klasma.github.io/Logging_212180/tillsyn/A 12338-2025 tillsynsbegäran.docx", "A 12338-2025")</f>
        <v/>
      </c>
      <c r="Y84">
        <f>HYPERLINK("https://klasma.github.io/Logging_212180/tillsynsmail/A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45752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45752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45752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45752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45752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45752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45752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45752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45752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45752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45752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45752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45752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45752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45752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45752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45752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45752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45752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45752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45752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45752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45752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45752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45752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45752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45752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45752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45752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45752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45752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45752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45752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45752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45752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45752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45752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45752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45752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45752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45752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45752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45752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45752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45752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45752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45752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45752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45752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45752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45752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45752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45752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45752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45752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45752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45752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45752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45752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45752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45752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45752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45752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45752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45752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45752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45752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45752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45752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45752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45752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45752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45752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45752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45752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45752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45752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45752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45752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45752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45752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45752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45752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45752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45752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45752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45752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45752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45752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45752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45752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45752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45752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45752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45752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45752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45752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45752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45752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45752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45752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45752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45752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45752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45752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45752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45752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45752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45752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45752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45752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45752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45752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45752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45752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45752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45752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45752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45752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45752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45752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45752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45752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45752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45752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45752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45752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45752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45752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45752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45752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45752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45752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45752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45752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45752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45752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45752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45752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45752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45752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45752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45752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45752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45752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45752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45752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45752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45752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45752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45752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45752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45752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45752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45752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45752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45752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45752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45752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45752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45752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45752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45752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45752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45752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45752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45752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45752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45752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45752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45752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45752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45752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45752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45752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45752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45752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45752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45752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45752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45752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45752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45752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45752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45752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45752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45752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45752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45752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45752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45752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45752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45752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45752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45752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45752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45752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45752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45752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45752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45752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45752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45752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45752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45752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45752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45752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45752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45752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45752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45752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45752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45752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45752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45752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45752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45752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45752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45752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45752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45752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45752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45752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45752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45752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45752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45752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45752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45752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45752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45752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45752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45752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45752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45752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45752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45752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45752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45752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45752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45752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45752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45752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45752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45752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45752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45752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45752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45752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45752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45752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45752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45752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45752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45752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45752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45752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45752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45752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45752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45752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45752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45752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45752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45752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45752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45752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45752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45752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45752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45752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45752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45752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45752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45752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45752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45752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45752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45752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45752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45752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45752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45752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45752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45752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45752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45752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45752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45752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45752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45752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45752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45752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45752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45752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45752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45752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45752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45752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45752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45752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45752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45752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45752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45752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45752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45752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45752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45752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45752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45752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45752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45752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45752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45752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45752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45752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45752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45752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45752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45752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45752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45752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45752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45752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45752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45752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45752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45752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45752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45752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45752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45752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45752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45752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45752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45752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45752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45752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45752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45752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45752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45752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45752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45752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45752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45752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45752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45752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45752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45752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45752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45752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45752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45752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45752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45752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45752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45752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45752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45752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45752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45752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45752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45752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45752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45752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45752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45752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45752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45752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45752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45752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45752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45752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45752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45752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45752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45752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45752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45752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45752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45752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45752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45752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45752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45752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45752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45752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45752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45752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45752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45752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45752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45752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45752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45752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45752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45752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45752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45752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45752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45752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45752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45752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45752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45752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45752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45752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45752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45752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45752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45752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45752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45752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45752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45752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45752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45752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45752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45752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45752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45752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45752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45752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45752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45752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45752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45752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45752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45752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45752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45752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45752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45752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45752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45752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45752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45752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45752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45752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45752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45752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45752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45752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45752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45752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45752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45752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45752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45752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45752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45752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45752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45752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45752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45752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45752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45752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45752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45752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45752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45752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45752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45752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45752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45752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45752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45752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45752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45752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45752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45752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45752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45752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45752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45752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45752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45752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45752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45752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45752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45752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45752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45752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45752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45752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45752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45752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45752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45752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45752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45752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45752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45752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45752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45752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45752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45752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45752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45752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45752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45752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45752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45752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45752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45752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45752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45752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45752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45752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45752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45752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45752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45752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45752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45752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45752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45752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45752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45752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45752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45752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45752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45752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45752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45752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45752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45752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45752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45752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45752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45752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45752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45752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45752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45752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45752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45752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45752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45752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45752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45752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45752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45752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45752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45752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45752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45752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45752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45752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45752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45752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45752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45752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45752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45752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45752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45752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45752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45752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45752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45752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45752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45752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45752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45752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45752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45752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45752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45752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45752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45752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45752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45752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45752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45752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45752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45752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45752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45752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45752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45752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45752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45752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45752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45752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45752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45752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45752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45752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45752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45752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45752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45752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45752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45752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45752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45752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45752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45752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45752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45752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45752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45752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45752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45752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45752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45752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45752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45752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45752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45752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45752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45752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45752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45752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45752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45752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45752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45752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45752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45752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45752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45752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45752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45752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45752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45752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45752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45752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45752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45752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45752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45752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45752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45752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45752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45752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45752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45752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45752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45752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45752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45752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45752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45752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45752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45752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45752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45752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45752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45752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45752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45752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45752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45752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45752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45752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45752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45752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45752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45752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45752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45752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45752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45752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45752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45752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45752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45752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45752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45752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45752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45752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45752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45752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45752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45752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45752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45752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45752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45752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45752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45752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45752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45752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45752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45752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45752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45752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45752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45752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45752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45752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45752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45752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45752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45752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45752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45752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45752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45752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45752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45752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45752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45752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45752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45752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45752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45752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45752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45752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45752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45752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45752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45752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45752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45752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45752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45752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45752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45752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45752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45752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45752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45752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45752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45752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45752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45752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45752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45752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45752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45752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45752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45752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45752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45752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45752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45752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45752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45752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45752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45752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45752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45752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45752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45752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45752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45752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45752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45752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45752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45752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45752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45752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45752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45752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45752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45752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45752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45752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45752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45752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45752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45752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45752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45752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45752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45752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45752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45752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45752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45752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45752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45752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45752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45752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45752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45752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45752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45752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45752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45752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45752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45752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45752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45752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45752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45752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45752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45752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45752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45752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45752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45752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45752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45752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45752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45752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45752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45752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45752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45752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45752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45752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45752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45752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45752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45752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45752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45752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45752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45752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45752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45752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45752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45752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45752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45752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45752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45752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45752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45752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45752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45752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45752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45752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45752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45752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45752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45752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45752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45752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45752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45752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45752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45752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45752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45752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45752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45752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45752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45752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45752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45752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45752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45752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45752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45752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45752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45752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45752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45752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45752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45752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45752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45752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45752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45752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45752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45752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45752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45752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45752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45752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45752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45752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45752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45752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45752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45752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45752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45752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45752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45752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45752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45752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45752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45752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45752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45752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45752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45752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45752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45752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45752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45752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45752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45752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45752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45752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45752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45752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45752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45752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45752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45752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45752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45752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45752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45752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45752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45752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45752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45752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45752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45752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45752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45752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45752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45752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45752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45752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45752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45752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45752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45752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45752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45752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45752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45752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45752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45752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45752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45752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45752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45752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45752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45752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45752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45752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45752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45752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45752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45752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45752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45752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45752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45752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45752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45752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45752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45752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45752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45752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45752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45752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45752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45752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45752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45752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45752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45752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45752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45752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45752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45752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45752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45752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45752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45752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45752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45752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45752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45752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45752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45752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45752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45752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45752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45752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45752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45752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45752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45752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45752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45752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45752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45752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45752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45752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45752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45752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45752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45752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45752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45752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45752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45752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45752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45752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45752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45752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45752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45752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45752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45752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45752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45752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45752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45752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45752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45752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45752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45752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45752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45752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45752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45752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45752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45752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45752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45752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45752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45752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45752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45752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45752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45752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45752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45752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45752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45752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45752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45752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45752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45752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45752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45752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45752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45752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45752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45752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45752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45752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45752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45752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45752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45752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45752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45752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45752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45752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45752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45752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45752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45752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45752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45752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45752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45752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45752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45752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45752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45752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45752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45752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45752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45752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45752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45752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45752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45752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45752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45752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45752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45752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45752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45752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45752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45752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45752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45752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45752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45752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45752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45752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45752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45752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45752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45752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45752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45752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45752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45752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45752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45752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45752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45752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45752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45752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45752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45752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45752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45752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45752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45752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45752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45752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45752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45752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45752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45752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45752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45752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45752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45752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45752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45752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45752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45752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45752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45752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45752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45752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45752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45752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45752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45752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45752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45752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45752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45752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45752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45752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45752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45752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45752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45752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45752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45752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45752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45752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45752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45752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45752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45752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45752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45752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45752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45752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45752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45752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45752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45752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45752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45752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45752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45752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45752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45752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45752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45752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45752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45752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45752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45752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45752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45752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45752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45752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45752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45752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45752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45752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45752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45752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45752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45752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45752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45752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45752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45752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45752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45752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45752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45752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45752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45752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45752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45752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45752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45752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45752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45752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45752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45752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45752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45752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45752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45752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45752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45752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45752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45752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45752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45752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45752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45752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45752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45752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45752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45752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45752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45752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45752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45752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45752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45752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45752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45752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45752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45752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45752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45752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45752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45752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45752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45752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45752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45752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45752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45752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45752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45752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45752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45752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45752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45752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45752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45752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45752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45752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45752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9452-2025</t>
        </is>
      </c>
      <c r="B1321" s="1" t="n">
        <v>45715</v>
      </c>
      <c r="C1321" s="1" t="n">
        <v>45752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45752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HYPERLINK("https://klasma.github.io/Logging_212180/knärot/A 9512-2025 karta knärot.png", "A 9512-2025")</f>
        <v/>
      </c>
      <c r="V1322">
        <f>HYPERLINK("https://klasma.github.io/Logging_212180/klagomål/A 9512-2025 FSC-klagomål.docx", "A 9512-2025")</f>
        <v/>
      </c>
      <c r="W1322">
        <f>HYPERLINK("https://klasma.github.io/Logging_212180/klagomålsmail/A 9512-2025 FSC-klagomål mail.docx", "A 9512-2025")</f>
        <v/>
      </c>
      <c r="X1322">
        <f>HYPERLINK("https://klasma.github.io/Logging_212180/tillsyn/A 9512-2025 tillsynsbegäran.docx", "A 9512-2025")</f>
        <v/>
      </c>
      <c r="Y1322">
        <f>HYPERLINK("https://klasma.github.io/Logging_212180/tillsynsmail/A 9512-2025 tillsynsbegäran mail.docx", "A 9512-2025")</f>
        <v/>
      </c>
    </row>
    <row r="1323" ht="15" customHeight="1">
      <c r="A1323" t="inlineStr">
        <is>
          <t>A 9436-2025</t>
        </is>
      </c>
      <c r="B1323" s="1" t="n">
        <v>45715</v>
      </c>
      <c r="C1323" s="1" t="n">
        <v>45752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45752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9391-2025</t>
        </is>
      </c>
      <c r="B1325" s="1" t="n">
        <v>45715</v>
      </c>
      <c r="C1325" s="1" t="n">
        <v>45752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45752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9422-2025</t>
        </is>
      </c>
      <c r="B1327" s="1" t="n">
        <v>45715</v>
      </c>
      <c r="C1327" s="1" t="n">
        <v>45752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9426-2025</t>
        </is>
      </c>
      <c r="B1328" s="1" t="n">
        <v>45715</v>
      </c>
      <c r="C1328" s="1" t="n">
        <v>45752</v>
      </c>
      <c r="D1328" t="inlineStr">
        <is>
          <t>GÄVLEBORGS LÄN</t>
        </is>
      </c>
      <c r="E1328" t="inlineStr">
        <is>
          <t>GÄVLE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9378-2025</t>
        </is>
      </c>
      <c r="B1329" s="1" t="n">
        <v>45715</v>
      </c>
      <c r="C1329" s="1" t="n">
        <v>45752</v>
      </c>
      <c r="D1329" t="inlineStr">
        <is>
          <t>GÄVLEBORGS LÄN</t>
        </is>
      </c>
      <c r="E1329" t="inlineStr">
        <is>
          <t>GÄVLE</t>
        </is>
      </c>
      <c r="F1329" t="inlineStr">
        <is>
          <t>Kyrkan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9570-2025</t>
        </is>
      </c>
      <c r="B1330" s="1" t="n">
        <v>45715</v>
      </c>
      <c r="C1330" s="1" t="n">
        <v>45752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45752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45752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45752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45752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45752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45752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45752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45752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45752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45752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45752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45752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45752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45752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45752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45752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45752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45752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11340-2025</t>
        </is>
      </c>
      <c r="B1349" s="1" t="n">
        <v>45726</v>
      </c>
      <c r="C1349" s="1" t="n">
        <v>45752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11346-2025</t>
        </is>
      </c>
      <c r="B1350" s="1" t="n">
        <v>45726</v>
      </c>
      <c r="C1350" s="1" t="n">
        <v>45752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45752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11410-2025</t>
        </is>
      </c>
      <c r="B1352" s="1" t="n">
        <v>45726</v>
      </c>
      <c r="C1352" s="1" t="n">
        <v>45752</v>
      </c>
      <c r="D1352" t="inlineStr">
        <is>
          <t>GÄVLEBORGS LÄN</t>
        </is>
      </c>
      <c r="E1352" t="inlineStr">
        <is>
          <t>GÄVLE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11429-2025</t>
        </is>
      </c>
      <c r="B1353" s="1" t="n">
        <v>45726</v>
      </c>
      <c r="C1353" s="1" t="n">
        <v>45752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45752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11417-2025</t>
        </is>
      </c>
      <c r="B1355" s="1" t="n">
        <v>45726</v>
      </c>
      <c r="C1355" s="1" t="n">
        <v>45752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11407-2025</t>
        </is>
      </c>
      <c r="B1356" s="1" t="n">
        <v>45726</v>
      </c>
      <c r="C1356" s="1" t="n">
        <v>45752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11768-2025</t>
        </is>
      </c>
      <c r="B1357" s="1" t="n">
        <v>45727</v>
      </c>
      <c r="C1357" s="1" t="n">
        <v>45752</v>
      </c>
      <c r="D1357" t="inlineStr">
        <is>
          <t>GÄVLEBORGS LÄN</t>
        </is>
      </c>
      <c r="E1357" t="inlineStr">
        <is>
          <t>GÄVLE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45752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45752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45752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45752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45752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45752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45752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45752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45752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45752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45752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45752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45752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45752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45752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12863-2025</t>
        </is>
      </c>
      <c r="B1373" s="1" t="n">
        <v>45733</v>
      </c>
      <c r="C1373" s="1" t="n">
        <v>45752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12897-2025</t>
        </is>
      </c>
      <c r="B1374" s="1" t="n">
        <v>45733</v>
      </c>
      <c r="C1374" s="1" t="n">
        <v>45752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45752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45752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45752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45752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45752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45752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45752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45752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13929-2025</t>
        </is>
      </c>
      <c r="B1383" s="1" t="n">
        <v>45737</v>
      </c>
      <c r="C1383" s="1" t="n">
        <v>45752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13825-2025</t>
        </is>
      </c>
      <c r="B1384" s="1" t="n">
        <v>45737</v>
      </c>
      <c r="C1384" s="1" t="n">
        <v>45752</v>
      </c>
      <c r="D1384" t="inlineStr">
        <is>
          <t>GÄVLEBORGS LÄN</t>
        </is>
      </c>
      <c r="E1384" t="inlineStr">
        <is>
          <t>GÄVLE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45752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45752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45752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45752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14150-2025</t>
        </is>
      </c>
      <c r="B1389" s="1" t="n">
        <v>45740</v>
      </c>
      <c r="C1389" s="1" t="n">
        <v>45752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45752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45752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45752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45752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45752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45752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45752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45752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45752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14708-2025</t>
        </is>
      </c>
      <c r="B1399" s="1" t="n">
        <v>45742</v>
      </c>
      <c r="C1399" s="1" t="n">
        <v>45752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45752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14647-2025</t>
        </is>
      </c>
      <c r="B1401" s="1" t="n">
        <v>45742</v>
      </c>
      <c r="C1401" s="1" t="n">
        <v>45752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14629-2025</t>
        </is>
      </c>
      <c r="B1402" s="1" t="n">
        <v>45742</v>
      </c>
      <c r="C1402" s="1" t="n">
        <v>45752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45752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45752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45752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45752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45752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45752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45752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45752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45752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45752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45752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45752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15672-2025</t>
        </is>
      </c>
      <c r="B1415" s="1" t="n">
        <v>45748</v>
      </c>
      <c r="C1415" s="1" t="n">
        <v>45752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15697-2025</t>
        </is>
      </c>
      <c r="B1416" s="1" t="n">
        <v>45748</v>
      </c>
      <c r="C1416" s="1" t="n">
        <v>45752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15932-2025</t>
        </is>
      </c>
      <c r="B1417" s="1" t="n">
        <v>45749</v>
      </c>
      <c r="C1417" s="1" t="n">
        <v>45752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15938-2025</t>
        </is>
      </c>
      <c r="B1418" s="1" t="n">
        <v>45749</v>
      </c>
      <c r="C1418" s="1" t="n">
        <v>45752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45752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15935-2025</t>
        </is>
      </c>
      <c r="B1420" s="1" t="n">
        <v>45749</v>
      </c>
      <c r="C1420" s="1" t="n">
        <v>45752</v>
      </c>
      <c r="D1420" t="inlineStr">
        <is>
          <t>GÄVLEBORGS LÄN</t>
        </is>
      </c>
      <c r="E1420" t="inlineStr">
        <is>
          <t>GÄVLE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16384-2025</t>
        </is>
      </c>
      <c r="B1421" s="1" t="n">
        <v>45751</v>
      </c>
      <c r="C1421" s="1" t="n">
        <v>45752</v>
      </c>
      <c r="D1421" t="inlineStr">
        <is>
          <t>GÄVLEBORGS LÄN</t>
        </is>
      </c>
      <c r="E1421" t="inlineStr">
        <is>
          <t>GÄVLE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2025-04-05T16:36:29Z</dcterms:created>
  <dcterms:modified xmlns:dcterms="http://purl.org/dc/terms/" xmlns:xsi="http://www.w3.org/2001/XMLSchema-instance" xsi:type="dcterms:W3CDTF">2025-04-05T16:36:30Z</dcterms:modified>
</cp:coreProperties>
</file>