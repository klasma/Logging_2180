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45761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45761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45761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45761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45761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45761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45761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45761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45761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45761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45761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45761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45761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45761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45761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45761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45761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45761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45761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45761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45761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45761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45761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45761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45761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45761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45761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29197-2022</t>
        </is>
      </c>
      <c r="B29" s="1" t="n">
        <v>44750</v>
      </c>
      <c r="C29" s="1" t="n">
        <v>45761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92.59999999999999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Skogsödla
Vanlig groda</t>
        </is>
      </c>
      <c r="S29">
        <f>HYPERLINK("https://klasma.github.io/Logging_2180/artfynd/A 29197-2022 artfynd.xlsx", "A 29197-2022")</f>
        <v/>
      </c>
      <c r="T29">
        <f>HYPERLINK("https://klasma.github.io/Logging_2180/kartor/A 29197-2022 karta.png", "A 29197-2022")</f>
        <v/>
      </c>
      <c r="V29">
        <f>HYPERLINK("https://klasma.github.io/Logging_2180/klagomål/A 29197-2022 FSC-klagomål.docx", "A 29197-2022")</f>
        <v/>
      </c>
      <c r="W29">
        <f>HYPERLINK("https://klasma.github.io/Logging_2180/klagomålsmail/A 29197-2022 FSC-klagomål mail.docx", "A 29197-2022")</f>
        <v/>
      </c>
      <c r="X29">
        <f>HYPERLINK("https://klasma.github.io/Logging_2180/tillsyn/A 29197-2022 tillsynsbegäran.docx", "A 29197-2022")</f>
        <v/>
      </c>
      <c r="Y29">
        <f>HYPERLINK("https://klasma.github.io/Logging_2180/tillsynsmail/A 29197-2022 tillsynsbegäran mail.docx", "A 29197-2022")</f>
        <v/>
      </c>
    </row>
    <row r="30" ht="15" customHeight="1">
      <c r="A30" t="inlineStr">
        <is>
          <t>A 56538-2022</t>
        </is>
      </c>
      <c r="B30" s="1" t="n">
        <v>44887</v>
      </c>
      <c r="C30" s="1" t="n">
        <v>45761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Blåsippa</t>
        </is>
      </c>
      <c r="S30">
        <f>HYPERLINK("https://klasma.github.io/Logging_2180/artfynd/A 56538-2022 artfynd.xlsx", "A 56538-2022")</f>
        <v/>
      </c>
      <c r="T30">
        <f>HYPERLINK("https://klasma.github.io/Logging_2180/kartor/A 56538-2022 karta.png", "A 56538-2022")</f>
        <v/>
      </c>
      <c r="V30">
        <f>HYPERLINK("https://klasma.github.io/Logging_2180/klagomål/A 56538-2022 FSC-klagomål.docx", "A 56538-2022")</f>
        <v/>
      </c>
      <c r="W30">
        <f>HYPERLINK("https://klasma.github.io/Logging_2180/klagomålsmail/A 56538-2022 FSC-klagomål mail.docx", "A 56538-2022")</f>
        <v/>
      </c>
      <c r="X30">
        <f>HYPERLINK("https://klasma.github.io/Logging_2180/tillsyn/A 56538-2022 tillsynsbegäran.docx", "A 56538-2022")</f>
        <v/>
      </c>
      <c r="Y30">
        <f>HYPERLINK("https://klasma.github.io/Logging_2180/tillsynsmail/A 56538-2022 tillsynsbegäran mail.docx", "A 56538-2022")</f>
        <v/>
      </c>
    </row>
    <row r="31" ht="15" customHeight="1">
      <c r="A31" t="inlineStr">
        <is>
          <t>A 15365-2023</t>
        </is>
      </c>
      <c r="B31" s="1" t="n">
        <v>45019</v>
      </c>
      <c r="C31" s="1" t="n">
        <v>45761</v>
      </c>
      <c r="D31" t="inlineStr">
        <is>
          <t>GÄVLEBORGS LÄN</t>
        </is>
      </c>
      <c r="E31" t="inlineStr">
        <is>
          <t>GÄVLE</t>
        </is>
      </c>
      <c r="G31" t="n">
        <v>55.2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Kopparödla</t>
        </is>
      </c>
      <c r="S31">
        <f>HYPERLINK("https://klasma.github.io/Logging_2180/artfynd/A 15365-2023 artfynd.xlsx", "A 15365-2023")</f>
        <v/>
      </c>
      <c r="T31">
        <f>HYPERLINK("https://klasma.github.io/Logging_2180/kartor/A 15365-2023 karta.png", "A 15365-2023")</f>
        <v/>
      </c>
      <c r="U31">
        <f>HYPERLINK("https://klasma.github.io/Logging_2180/knärot/A 15365-2023 karta knärot.png", "A 15365-2023")</f>
        <v/>
      </c>
      <c r="V31">
        <f>HYPERLINK("https://klasma.github.io/Logging_2180/klagomål/A 15365-2023 FSC-klagomål.docx", "A 15365-2023")</f>
        <v/>
      </c>
      <c r="W31">
        <f>HYPERLINK("https://klasma.github.io/Logging_2180/klagomålsmail/A 15365-2023 FSC-klagomål mail.docx", "A 15365-2023")</f>
        <v/>
      </c>
      <c r="X31">
        <f>HYPERLINK("https://klasma.github.io/Logging_2180/tillsyn/A 15365-2023 tillsynsbegäran.docx", "A 15365-2023")</f>
        <v/>
      </c>
      <c r="Y31">
        <f>HYPERLINK("https://klasma.github.io/Logging_2180/tillsynsmail/A 15365-2023 tillsynsbegäran mail.docx", "A 15365-2023")</f>
        <v/>
      </c>
    </row>
    <row r="32" ht="15" customHeight="1">
      <c r="A32" t="inlineStr">
        <is>
          <t>A 16499-2023</t>
        </is>
      </c>
      <c r="B32" s="1" t="n">
        <v>45029</v>
      </c>
      <c r="C32" s="1" t="n">
        <v>45761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41.8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Bredgentiana
Granbräken</t>
        </is>
      </c>
      <c r="S32">
        <f>HYPERLINK("https://klasma.github.io/Logging_2180/artfynd/A 16499-2023 artfynd.xlsx", "A 16499-2023")</f>
        <v/>
      </c>
      <c r="T32">
        <f>HYPERLINK("https://klasma.github.io/Logging_2180/kartor/A 16499-2023 karta.png", "A 16499-2023")</f>
        <v/>
      </c>
      <c r="V32">
        <f>HYPERLINK("https://klasma.github.io/Logging_2180/klagomål/A 16499-2023 FSC-klagomål.docx", "A 16499-2023")</f>
        <v/>
      </c>
      <c r="W32">
        <f>HYPERLINK("https://klasma.github.io/Logging_2180/klagomålsmail/A 16499-2023 FSC-klagomål mail.docx", "A 16499-2023")</f>
        <v/>
      </c>
      <c r="X32">
        <f>HYPERLINK("https://klasma.github.io/Logging_2180/tillsyn/A 16499-2023 tillsynsbegäran.docx", "A 16499-2023")</f>
        <v/>
      </c>
      <c r="Y32">
        <f>HYPERLINK("https://klasma.github.io/Logging_2180/tillsynsmail/A 16499-2023 tillsynsbegäran mail.docx", "A 16499-2023")</f>
        <v/>
      </c>
    </row>
    <row r="33" ht="15" customHeight="1">
      <c r="A33" t="inlineStr">
        <is>
          <t>A 18332-2023</t>
        </is>
      </c>
      <c r="B33" s="1" t="n">
        <v>45041</v>
      </c>
      <c r="C33" s="1" t="n">
        <v>45761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16.1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Skogsklocka</t>
        </is>
      </c>
      <c r="S33">
        <f>HYPERLINK("https://klasma.github.io/Logging_2180/artfynd/A 18332-2023 artfynd.xlsx", "A 18332-2023")</f>
        <v/>
      </c>
      <c r="T33">
        <f>HYPERLINK("https://klasma.github.io/Logging_2180/kartor/A 18332-2023 karta.png", "A 18332-2023")</f>
        <v/>
      </c>
      <c r="V33">
        <f>HYPERLINK("https://klasma.github.io/Logging_2180/klagomål/A 18332-2023 FSC-klagomål.docx", "A 18332-2023")</f>
        <v/>
      </c>
      <c r="W33">
        <f>HYPERLINK("https://klasma.github.io/Logging_2180/klagomålsmail/A 18332-2023 FSC-klagomål mail.docx", "A 18332-2023")</f>
        <v/>
      </c>
      <c r="X33">
        <f>HYPERLINK("https://klasma.github.io/Logging_2180/tillsyn/A 18332-2023 tillsynsbegäran.docx", "A 18332-2023")</f>
        <v/>
      </c>
      <c r="Y33">
        <f>HYPERLINK("https://klasma.github.io/Logging_2180/tillsynsmail/A 18332-2023 tillsynsbegäran mail.docx", "A 18332-2023")</f>
        <v/>
      </c>
    </row>
    <row r="34" ht="15" customHeight="1">
      <c r="A34" t="inlineStr">
        <is>
          <t>A 20232-2023</t>
        </is>
      </c>
      <c r="B34" s="1" t="n">
        <v>45055</v>
      </c>
      <c r="C34" s="1" t="n">
        <v>45761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Stor låsbräken
Sparvuggla</t>
        </is>
      </c>
      <c r="S34">
        <f>HYPERLINK("https://klasma.github.io/Logging_2180/artfynd/A 20232-2023 artfynd.xlsx", "A 20232-2023")</f>
        <v/>
      </c>
      <c r="T34">
        <f>HYPERLINK("https://klasma.github.io/Logging_2180/kartor/A 20232-2023 karta.png", "A 20232-2023")</f>
        <v/>
      </c>
      <c r="V34">
        <f>HYPERLINK("https://klasma.github.io/Logging_2180/klagomål/A 20232-2023 FSC-klagomål.docx", "A 20232-2023")</f>
        <v/>
      </c>
      <c r="W34">
        <f>HYPERLINK("https://klasma.github.io/Logging_2180/klagomålsmail/A 20232-2023 FSC-klagomål mail.docx", "A 20232-2023")</f>
        <v/>
      </c>
      <c r="X34">
        <f>HYPERLINK("https://klasma.github.io/Logging_2180/tillsyn/A 20232-2023 tillsynsbegäran.docx", "A 20232-2023")</f>
        <v/>
      </c>
      <c r="Y34">
        <f>HYPERLINK("https://klasma.github.io/Logging_2180/tillsynsmail/A 20232-2023 tillsynsbegäran mail.docx", "A 20232-2023")</f>
        <v/>
      </c>
      <c r="Z34">
        <f>HYPERLINK("https://klasma.github.io/Logging_2180/fåglar/A 20232-2023 prioriterade fågelarter.docx", "A 20232-2023")</f>
        <v/>
      </c>
    </row>
    <row r="35" ht="15" customHeight="1">
      <c r="A35" t="inlineStr">
        <is>
          <t>A 31541-2023</t>
        </is>
      </c>
      <c r="B35" s="1" t="n">
        <v>45117</v>
      </c>
      <c r="C35" s="1" t="n">
        <v>45761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Vårärt
Mattlummer</t>
        </is>
      </c>
      <c r="S35">
        <f>HYPERLINK("https://klasma.github.io/Logging_2180/artfynd/A 31541-2023 artfynd.xlsx", "A 31541-2023")</f>
        <v/>
      </c>
      <c r="T35">
        <f>HYPERLINK("https://klasma.github.io/Logging_2180/kartor/A 31541-2023 karta.png", "A 31541-2023")</f>
        <v/>
      </c>
      <c r="V35">
        <f>HYPERLINK("https://klasma.github.io/Logging_2180/klagomål/A 31541-2023 FSC-klagomål.docx", "A 31541-2023")</f>
        <v/>
      </c>
      <c r="W35">
        <f>HYPERLINK("https://klasma.github.io/Logging_2180/klagomålsmail/A 31541-2023 FSC-klagomål mail.docx", "A 31541-2023")</f>
        <v/>
      </c>
      <c r="X35">
        <f>HYPERLINK("https://klasma.github.io/Logging_2180/tillsyn/A 31541-2023 tillsynsbegäran.docx", "A 31541-2023")</f>
        <v/>
      </c>
      <c r="Y35">
        <f>HYPERLINK("https://klasma.github.io/Logging_2180/tillsynsmail/A 31541-2023 tillsynsbegäran mail.docx", "A 31541-2023")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45761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45761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26213-2024</t>
        </is>
      </c>
      <c r="B38" s="1" t="n">
        <v>45468</v>
      </c>
      <c r="C38" s="1" t="n">
        <v>45761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Dropptaggsvamp</t>
        </is>
      </c>
      <c r="S38">
        <f>HYPERLINK("https://klasma.github.io/Logging_2180/artfynd/A 26213-2024 artfynd.xlsx", "A 26213-2024")</f>
        <v/>
      </c>
      <c r="T38">
        <f>HYPERLINK("https://klasma.github.io/Logging_2180/kartor/A 26213-2024 karta.png", "A 26213-2024")</f>
        <v/>
      </c>
      <c r="V38">
        <f>HYPERLINK("https://klasma.github.io/Logging_2180/klagomål/A 26213-2024 FSC-klagomål.docx", "A 26213-2024")</f>
        <v/>
      </c>
      <c r="W38">
        <f>HYPERLINK("https://klasma.github.io/Logging_2180/klagomålsmail/A 26213-2024 FSC-klagomål mail.docx", "A 26213-2024")</f>
        <v/>
      </c>
      <c r="X38">
        <f>HYPERLINK("https://klasma.github.io/Logging_2180/tillsyn/A 26213-2024 tillsynsbegäran.docx", "A 26213-2024")</f>
        <v/>
      </c>
      <c r="Y38">
        <f>HYPERLINK("https://klasma.github.io/Logging_2180/tillsynsmail/A 26213-2024 tillsynsbegäran mail.docx", "A 26213-2024")</f>
        <v/>
      </c>
    </row>
    <row r="39" ht="15" customHeight="1">
      <c r="A39" t="inlineStr">
        <is>
          <t>A 34082-2024</t>
        </is>
      </c>
      <c r="B39" s="1" t="n">
        <v>45523</v>
      </c>
      <c r="C39" s="1" t="n">
        <v>45761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Blåsippa</t>
        </is>
      </c>
      <c r="S39">
        <f>HYPERLINK("https://klasma.github.io/Logging_2180/artfynd/A 34082-2024 artfynd.xlsx", "A 34082-2024")</f>
        <v/>
      </c>
      <c r="T39">
        <f>HYPERLINK("https://klasma.github.io/Logging_2180/kartor/A 34082-2024 karta.png", "A 34082-2024")</f>
        <v/>
      </c>
      <c r="V39">
        <f>HYPERLINK("https://klasma.github.io/Logging_2180/klagomål/A 34082-2024 FSC-klagomål.docx", "A 34082-2024")</f>
        <v/>
      </c>
      <c r="W39">
        <f>HYPERLINK("https://klasma.github.io/Logging_2180/klagomålsmail/A 34082-2024 FSC-klagomål mail.docx", "A 34082-2024")</f>
        <v/>
      </c>
      <c r="X39">
        <f>HYPERLINK("https://klasma.github.io/Logging_2180/tillsyn/A 34082-2024 tillsynsbegäran.docx", "A 34082-2024")</f>
        <v/>
      </c>
      <c r="Y39">
        <f>HYPERLINK("https://klasma.github.io/Logging_2180/tillsynsmail/A 34082-2024 tillsynsbegäran mail.docx", "A 34082-2024")</f>
        <v/>
      </c>
    </row>
    <row r="40" ht="15" customHeight="1">
      <c r="A40" t="inlineStr">
        <is>
          <t>A 56870-2024</t>
        </is>
      </c>
      <c r="B40" s="1" t="n">
        <v>45628</v>
      </c>
      <c r="C40" s="1" t="n">
        <v>45761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12.4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Havsörn
Dvärgpipistrell</t>
        </is>
      </c>
      <c r="S40">
        <f>HYPERLINK("https://klasma.github.io/Logging_2180/artfynd/A 56870-2024 artfynd.xlsx", "A 56870-2024")</f>
        <v/>
      </c>
      <c r="T40">
        <f>HYPERLINK("https://klasma.github.io/Logging_2180/kartor/A 56870-2024 karta.png", "A 56870-2024")</f>
        <v/>
      </c>
      <c r="V40">
        <f>HYPERLINK("https://klasma.github.io/Logging_2180/klagomål/A 56870-2024 FSC-klagomål.docx", "A 56870-2024")</f>
        <v/>
      </c>
      <c r="W40">
        <f>HYPERLINK("https://klasma.github.io/Logging_2180/klagomålsmail/A 56870-2024 FSC-klagomål mail.docx", "A 56870-2024")</f>
        <v/>
      </c>
      <c r="X40">
        <f>HYPERLINK("https://klasma.github.io/Logging_2180/tillsyn/A 56870-2024 tillsynsbegäran.docx", "A 56870-2024")</f>
        <v/>
      </c>
      <c r="Y40">
        <f>HYPERLINK("https://klasma.github.io/Logging_2180/tillsynsmail/A 56870-2024 tillsynsbegäran mail.docx", "A 56870-2024")</f>
        <v/>
      </c>
      <c r="Z40">
        <f>HYPERLINK("https://klasma.github.io/Logging_2180/fåglar/A 56870-2024 prioriterade fågelarter.docx", "A 56870-2024")</f>
        <v/>
      </c>
    </row>
    <row r="41" ht="15" customHeight="1">
      <c r="A41" t="inlineStr">
        <is>
          <t>A 56993-2024</t>
        </is>
      </c>
      <c r="B41" s="1" t="n">
        <v>45628</v>
      </c>
      <c r="C41" s="1" t="n">
        <v>45761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4.9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Aspgelélav
Vårärt</t>
        </is>
      </c>
      <c r="S41">
        <f>HYPERLINK("https://klasma.github.io/Logging_2180/artfynd/A 56993-2024 artfynd.xlsx", "A 56993-2024")</f>
        <v/>
      </c>
      <c r="T41">
        <f>HYPERLINK("https://klasma.github.io/Logging_2180/kartor/A 56993-2024 karta.png", "A 56993-2024")</f>
        <v/>
      </c>
      <c r="V41">
        <f>HYPERLINK("https://klasma.github.io/Logging_2180/klagomål/A 56993-2024 FSC-klagomål.docx", "A 56993-2024")</f>
        <v/>
      </c>
      <c r="W41">
        <f>HYPERLINK("https://klasma.github.io/Logging_2180/klagomålsmail/A 56993-2024 FSC-klagomål mail.docx", "A 56993-2024")</f>
        <v/>
      </c>
      <c r="X41">
        <f>HYPERLINK("https://klasma.github.io/Logging_2180/tillsyn/A 56993-2024 tillsynsbegäran.docx", "A 56993-2024")</f>
        <v/>
      </c>
      <c r="Y41">
        <f>HYPERLINK("https://klasma.github.io/Logging_2180/tillsynsmail/A 56993-2024 tillsynsbegäran mail.docx", "A 56993-2024")</f>
        <v/>
      </c>
    </row>
    <row r="42" ht="15" customHeight="1">
      <c r="A42" t="inlineStr">
        <is>
          <t>A 4234-2025</t>
        </is>
      </c>
      <c r="B42" s="1" t="n">
        <v>45685</v>
      </c>
      <c r="C42" s="1" t="n">
        <v>45761</v>
      </c>
      <c r="D42" t="inlineStr">
        <is>
          <t>GÄVLEBORGS LÄN</t>
        </is>
      </c>
      <c r="E42" t="inlineStr">
        <is>
          <t>GÄVLE</t>
        </is>
      </c>
      <c r="G42" t="n">
        <v>4.9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Vedskivlav</t>
        </is>
      </c>
      <c r="S42">
        <f>HYPERLINK("https://klasma.github.io/Logging_2180/artfynd/A 4234-2025 artfynd.xlsx", "A 4234-2025")</f>
        <v/>
      </c>
      <c r="T42">
        <f>HYPERLINK("https://klasma.github.io/Logging_2180/kartor/A 4234-2025 karta.png", "A 4234-2025")</f>
        <v/>
      </c>
      <c r="V42">
        <f>HYPERLINK("https://klasma.github.io/Logging_2180/klagomål/A 4234-2025 FSC-klagomål.docx", "A 4234-2025")</f>
        <v/>
      </c>
      <c r="W42">
        <f>HYPERLINK("https://klasma.github.io/Logging_2180/klagomålsmail/A 4234-2025 FSC-klagomål mail.docx", "A 4234-2025")</f>
        <v/>
      </c>
      <c r="X42">
        <f>HYPERLINK("https://klasma.github.io/Logging_2180/tillsyn/A 4234-2025 tillsynsbegäran.docx", "A 4234-2025")</f>
        <v/>
      </c>
      <c r="Y42">
        <f>HYPERLINK("https://klasma.github.io/Logging_2180/tillsynsmail/A 4234-2025 tillsynsbegäran mail.docx", "A 4234-2025")</f>
        <v/>
      </c>
      <c r="Z42">
        <f>HYPERLINK("https://klasma.github.io/Logging_2180/fåglar/A 4234-2025 prioriterade fågelarter.docx", "A 4234-2025")</f>
        <v/>
      </c>
    </row>
    <row r="43" ht="15" customHeight="1">
      <c r="A43" t="inlineStr">
        <is>
          <t>A 9570-2025</t>
        </is>
      </c>
      <c r="B43" s="1" t="n">
        <v>45715</v>
      </c>
      <c r="C43" s="1" t="n">
        <v>45761</v>
      </c>
      <c r="D43" t="inlineStr">
        <is>
          <t>GÄVLEBORGS LÄN</t>
        </is>
      </c>
      <c r="E43" t="inlineStr">
        <is>
          <t>GÄVLE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Tretåig hackspett</t>
        </is>
      </c>
      <c r="S43">
        <f>HYPERLINK("https://klasma.github.io/Logging_212180/artfynd/A 9570-2025 artfynd.xlsx", "A 9570-2025")</f>
        <v/>
      </c>
      <c r="T43">
        <f>HYPERLINK("https://klasma.github.io/Logging_212180/kartor/A 9570-2025 karta.png", "A 9570-2025")</f>
        <v/>
      </c>
      <c r="V43">
        <f>HYPERLINK("https://klasma.github.io/Logging_212180/klagomål/A 9570-2025 FSC-klagomål.docx", "A 9570-2025")</f>
        <v/>
      </c>
      <c r="W43">
        <f>HYPERLINK("https://klasma.github.io/Logging_212180/klagomålsmail/A 9570-2025 FSC-klagomål mail.docx", "A 9570-2025")</f>
        <v/>
      </c>
      <c r="X43">
        <f>HYPERLINK("https://klasma.github.io/Logging_212180/tillsyn/A 9570-2025 tillsynsbegäran.docx", "A 9570-2025")</f>
        <v/>
      </c>
      <c r="Y43">
        <f>HYPERLINK("https://klasma.github.io/Logging_212180/tillsynsmail/A 9570-2025 tillsynsbegäran mail.docx", "A 9570-2025")</f>
        <v/>
      </c>
      <c r="Z43">
        <f>HYPERLINK("https://klasma.github.io/Logging_212180/fåglar/A 9570-2025 prioriterade fågelarter.docx", "A 9570-2025")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45761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45761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45761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45761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45761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45761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45761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45761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45761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45761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45761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45761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45761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45761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45761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45761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45761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45761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45761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45761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45761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45761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45761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45761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45761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45761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45761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45761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45761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45761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45761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45761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45761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45761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45761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45761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45761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45761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45761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45761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45761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45761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45761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45761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45761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45761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45761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45761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45761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45761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45761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45761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45761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45761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45761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45761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45761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45761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45761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45761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45761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45761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45761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45761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45761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45761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45761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45761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45761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45761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45761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45761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45761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45761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45761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45761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45761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45761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45761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45761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45761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45761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45761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45761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45761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45761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45761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45761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45761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45761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45761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45761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45761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45761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45761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45761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45761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45761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45761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45761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45761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45761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45761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45761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45761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45761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45761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45761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45761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45761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45761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45761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45761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45761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45761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45761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45761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45761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45761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45761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45761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45761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45761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45761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45761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45761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45761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45761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45761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45761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45761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45761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45761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45761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45761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45761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45761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45761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45761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45761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45761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45761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45761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45761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45761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45761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45761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45761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45761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45761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45761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45761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45761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45761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45761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45761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45761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45761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45761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45761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45761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45761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45761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45761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45761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45761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45761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45761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45761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45761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45761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45761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45761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45761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45761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45761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45761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45761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45761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45761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45761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45761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45761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45761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45761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45761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45761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45761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45761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45761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45761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45761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45761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45761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45761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45761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45761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45761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45761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45761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45761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45761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45761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45761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45761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45761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45761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45761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45761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45761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45761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45761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45761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45761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45761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45761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45761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45761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45761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45761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45761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45761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45761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45761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45761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45761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45761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45761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45761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45761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45761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45761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45761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45761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45761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45761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45761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45761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45761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45761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45761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45761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45761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45761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45761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45761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45761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45761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45761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45761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45761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45761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45761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45761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45761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45761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45761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45761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45761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45761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45761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45761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45761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45761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45761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45761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45761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45761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45761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45761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45761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45761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45761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45761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45761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45761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45761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45761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45761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45761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45761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45761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45761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45761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45761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45761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45761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45761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45761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45761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45761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45761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45761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45761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45761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45761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45761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45761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45761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45761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45761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45761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45761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45761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45761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45761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45761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45761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45761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45761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45761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45761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45761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45761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45761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45761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45761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45761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45761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45761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45761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45761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45761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45761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45761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45761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45761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45761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45761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45761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45761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45761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45761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45761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45761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45761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45761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45761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45761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45761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45761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45761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45761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45761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45761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45761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45761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45761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45761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45761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45761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45761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45761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45761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45761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45761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45761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45761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45761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45761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45761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45761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45761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45761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45761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45761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45761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45761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45761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45761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45761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45761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45761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45761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45761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45761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45761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45761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45761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45761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45761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45761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45761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45761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45761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45761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45761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45761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45761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45761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45761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45761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45761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45761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45761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45761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45761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45761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45761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45761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45761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45761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45761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45761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45761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45761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45761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45761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45761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45761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45761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45761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45761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45761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45761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45761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45761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45761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45761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45761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45761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45761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45761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45761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45761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45761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45761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45761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45761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45761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45761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45761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45761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45761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45761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45761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45761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45761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45761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45761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45761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45761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45761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45761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45761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45761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45761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45761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45761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45761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45761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45761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45761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45761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45761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45761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45761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45761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45761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45761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45761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45761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45761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45761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45761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45761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45761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45761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45761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45761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45761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45761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45761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45761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45761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45761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45761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45761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45761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45761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45761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45761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45761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45761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45761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45761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45761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45761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45761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45761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45761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45761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45761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45761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45761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45761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45761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45761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45761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45761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45761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45761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45761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45761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45761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45761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45761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45761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45761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45761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45761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45761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45761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45761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45761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45761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45761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45761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45761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45761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45761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45761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45761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45761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45761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45761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45761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45761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45761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45761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45761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45761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45761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45761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45761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45761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45761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45761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45761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45761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45761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45761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45761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45761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45761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45761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45761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45761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45761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45761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45761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45761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45761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45761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45761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45761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45761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45761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45761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45761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45761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45761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45761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45761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45761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45761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45761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45761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45761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45761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45761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45761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45761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45761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45761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45761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45761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45761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45761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45761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45761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45761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45761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45761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45761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45761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45761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45761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45761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45761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45761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45761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45761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45761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45761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45761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45761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45761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45761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45761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45761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45761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45761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45761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45761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45761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45761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45761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45761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45761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45761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45761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45761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45761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45761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45761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45761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45761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45761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45761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45761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45761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45761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45761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45761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45761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45761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45761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45761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45761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45761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45761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45761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45761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45761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45761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45761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45761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45761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45761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45761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45761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45761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45761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45761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45761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45761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45761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45761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45761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45761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45761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45761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45761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45761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45761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45761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45761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45761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45761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45761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45761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45761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45761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45761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45761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45761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45761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45761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45761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45761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45761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45761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45761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45761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45761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45761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45761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45761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45761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45761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45761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45761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45761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45761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45761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45761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45761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45761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45761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45761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45761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45761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45761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45761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45761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45761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45761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45761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45761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45761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45761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45761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45761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45761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45761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45761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45761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45761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45761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45761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45761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45761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45761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45761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45761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45761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45761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45761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45761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45761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45761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45761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45761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45761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45761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45761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45761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45761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45761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45761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45761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45761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45761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45761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45761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45761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45761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45761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45761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45761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45761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45761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45761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45761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45761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45761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45761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45761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45761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45761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45761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45761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45761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45761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45761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45761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45761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45761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45761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45761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45761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45761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45761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45761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45761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45761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45761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45761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45761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45761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45761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45761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45761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45761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45761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45761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45761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45761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45761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45761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45761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45761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45761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45761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45761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45761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45761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45761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45761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45761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45761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45761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45761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45761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45761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45761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45761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45761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45761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45761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45761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45761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45761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45761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45761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45761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45761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45761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45761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45761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45761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45761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45761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45761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45761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45761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45761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45761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45761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45761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45761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45761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45761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45761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45761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45761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45761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45761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45761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45761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45761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45761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45761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45761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45761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45761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45761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45761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45761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45761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45761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45761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45761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45761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45761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45761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45761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45761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45761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45761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45761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45761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45761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45761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45761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45761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45761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45761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45761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45761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45761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45761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45761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45761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45761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45761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45761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45761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45761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45761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45761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45761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45761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45761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45761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45761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45761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45761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45761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45761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45761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45761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45761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45761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45761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45761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45761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45761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45761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45761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45761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45761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45761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45761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45761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45761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45761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45761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45761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45761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45761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45761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45761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45761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45761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45761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45761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45761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45761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45761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45761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45761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45761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45761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45761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45761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45761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45761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45761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45761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45761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45761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45761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45761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45761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45761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45761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45761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45761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45761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45761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45761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45761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45761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45761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45761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45761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45761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45761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45761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45761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45761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45761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45761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45761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45761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45761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45761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45761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45761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45761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45761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45761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45761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45761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45761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45761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45761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45761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45761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45761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45761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45761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45761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45761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45761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45761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45761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45761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45761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45761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45761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45761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45761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45761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45761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45761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45761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45761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45761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45761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45761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45761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45761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45761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45761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45761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45761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45761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45761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45761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45761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45761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45761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45761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45761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45761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45761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45761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45761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45761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45761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45761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45761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45761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45761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45761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45761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45761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45761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45761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45761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45761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45761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45761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45761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45761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45761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45761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45761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45761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45761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45761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45761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45761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45761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45761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45761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45761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45761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45761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45761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45761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45761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45761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45761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45761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45761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45761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45761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45761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45761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45761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45761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45761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45761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45761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45761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45761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45761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45761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45761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45761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45761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45761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45761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45761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45761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45761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45761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45761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45761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45761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45761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45761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45761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45761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45761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45761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45761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45761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45761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45761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45761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45761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45761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45761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45761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45761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45761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45761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45761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45761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45761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45761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45761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45761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45761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45761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45761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45761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45761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45761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45761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45761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45761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45761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45761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45761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45761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45761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45761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45761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45761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45761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45761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45761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45761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45761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45761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45761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45761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45761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45761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45761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45761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45761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45761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45761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45761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45761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45761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45761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45761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45761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45761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45761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45761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45761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45761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45761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45761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45761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45761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45761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45761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45761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45761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45761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45761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45761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45761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45761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45761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45761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45761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45761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45761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45761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45761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45761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45761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45761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45761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45761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45761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45761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45761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45761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45761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45761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45761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45761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45761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45761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45761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45761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45761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45761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45761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45761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45761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45761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45761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45761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45761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45761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45761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45761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45761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45761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45761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45761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45761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45761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45761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45761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45761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45761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45761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45761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45761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45761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45761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45761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45761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45761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45761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45761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45761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45761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45761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45761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45761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45761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45761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45761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45761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45761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45761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45761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45761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45761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45761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45761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45761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45761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45761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45761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45761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45761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45761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45761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45761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45761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45761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45761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45761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45761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45761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45761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45761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45761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45761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45761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45761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45761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45761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45761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45761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45761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45761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45761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45761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45761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45761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45761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45761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45761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45761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45761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45761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45761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45761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45761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45761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45761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45761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45761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45761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45761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45761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45761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45761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45761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45761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45761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45761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45761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45761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45761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45761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45761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45761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45761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45761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45761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45761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45761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45761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45761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45761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45761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45761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45761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45761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45761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45761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45761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45761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45761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45761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45761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45761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45761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45761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45761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45761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45761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45761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45761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45761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45761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45761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45761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45761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45761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45761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45761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45761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45761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45761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45761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45761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45761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45761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45761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45761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45761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45761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45761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45761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45761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45761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45761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45761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45761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45761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45761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45761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45761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45761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45761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45761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45761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45761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45761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45761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45761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45761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45761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45761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14284-2025</t>
        </is>
      </c>
      <c r="B1387" s="1" t="n">
        <v>45740</v>
      </c>
      <c r="C1387" s="1" t="n">
        <v>45761</v>
      </c>
      <c r="D1387" t="inlineStr">
        <is>
          <t>GÄVLEBORGS LÄN</t>
        </is>
      </c>
      <c r="E1387" t="inlineStr">
        <is>
          <t>GÄVLE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14150-2025</t>
        </is>
      </c>
      <c r="B1388" s="1" t="n">
        <v>45740</v>
      </c>
      <c r="C1388" s="1" t="n">
        <v>45761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45761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45761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45761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45761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45761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45761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45761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45761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45761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45761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14708-2025</t>
        </is>
      </c>
      <c r="B1399" s="1" t="n">
        <v>45742</v>
      </c>
      <c r="C1399" s="1" t="n">
        <v>45761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45761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45761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14647-2025</t>
        </is>
      </c>
      <c r="B1402" s="1" t="n">
        <v>45742</v>
      </c>
      <c r="C1402" s="1" t="n">
        <v>45761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14783-2025</t>
        </is>
      </c>
      <c r="B1403" s="1" t="n">
        <v>45742</v>
      </c>
      <c r="C1403" s="1" t="n">
        <v>45761</v>
      </c>
      <c r="D1403" t="inlineStr">
        <is>
          <t>GÄVLEBORGS LÄN</t>
        </is>
      </c>
      <c r="E1403" t="inlineStr">
        <is>
          <t>GÄVLE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14668-2025</t>
        </is>
      </c>
      <c r="B1404" s="1" t="n">
        <v>45742</v>
      </c>
      <c r="C1404" s="1" t="n">
        <v>45761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14675-2025</t>
        </is>
      </c>
      <c r="B1405" s="1" t="n">
        <v>45742</v>
      </c>
      <c r="C1405" s="1" t="n">
        <v>45761</v>
      </c>
      <c r="D1405" t="inlineStr">
        <is>
          <t>GÄVLEBORGS LÄN</t>
        </is>
      </c>
      <c r="E1405" t="inlineStr">
        <is>
          <t>GÄVLE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45761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45761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45761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45761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45761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45761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45761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45761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45761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45761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45761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45761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15939-2025</t>
        </is>
      </c>
      <c r="B1418" s="1" t="n">
        <v>45749</v>
      </c>
      <c r="C1418" s="1" t="n">
        <v>45761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15935-2025</t>
        </is>
      </c>
      <c r="B1419" s="1" t="n">
        <v>45749</v>
      </c>
      <c r="C1419" s="1" t="n">
        <v>45761</v>
      </c>
      <c r="D1419" t="inlineStr">
        <is>
          <t>GÄVLEBORGS LÄN</t>
        </is>
      </c>
      <c r="E1419" t="inlineStr">
        <is>
          <t>GÄVLE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45761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45761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45761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45761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45761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17180-2025</t>
        </is>
      </c>
      <c r="B1425" s="1" t="n">
        <v>45756</v>
      </c>
      <c r="C1425" s="1" t="n">
        <v>45761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17170-2025</t>
        </is>
      </c>
      <c r="B1426" s="1" t="n">
        <v>45756</v>
      </c>
      <c r="C1426" s="1" t="n">
        <v>45761</v>
      </c>
      <c r="D1426" t="inlineStr">
        <is>
          <t>GÄVLEBORGS LÄN</t>
        </is>
      </c>
      <c r="E1426" t="inlineStr">
        <is>
          <t>GÄVLE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17216-2025</t>
        </is>
      </c>
      <c r="B1427" s="1" t="n">
        <v>45756</v>
      </c>
      <c r="C1427" s="1" t="n">
        <v>45761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17605-2025</t>
        </is>
      </c>
      <c r="B1428" s="1" t="n">
        <v>45757</v>
      </c>
      <c r="C1428" s="1" t="n">
        <v>45761</v>
      </c>
      <c r="D1428" t="inlineStr">
        <is>
          <t>GÄVLEBORGS LÄN</t>
        </is>
      </c>
      <c r="E1428" t="inlineStr">
        <is>
          <t>GÄVLE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17607-2025</t>
        </is>
      </c>
      <c r="B1429" s="1" t="n">
        <v>45757</v>
      </c>
      <c r="C1429" s="1" t="n">
        <v>45761</v>
      </c>
      <c r="D1429" t="inlineStr">
        <is>
          <t>GÄVLEBORGS LÄN</t>
        </is>
      </c>
      <c r="E1429" t="inlineStr">
        <is>
          <t>GÄVLE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17404-2025</t>
        </is>
      </c>
      <c r="B1430" s="1" t="n">
        <v>45757</v>
      </c>
      <c r="C1430" s="1" t="n">
        <v>45761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17879-2025</t>
        </is>
      </c>
      <c r="B1431" s="1" t="n">
        <v>45758</v>
      </c>
      <c r="C1431" s="1" t="n">
        <v>45761</v>
      </c>
      <c r="D1431" t="inlineStr">
        <is>
          <t>GÄVLEBORGS LÄN</t>
        </is>
      </c>
      <c r="E1431" t="inlineStr">
        <is>
          <t>GÄVLE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17788-2025</t>
        </is>
      </c>
      <c r="B1432" s="1" t="n">
        <v>45758</v>
      </c>
      <c r="C1432" s="1" t="n">
        <v>45761</v>
      </c>
      <c r="D1432" t="inlineStr">
        <is>
          <t>GÄVLEBORGS LÄN</t>
        </is>
      </c>
      <c r="E1432" t="inlineStr">
        <is>
          <t>GÄVLE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2025-04-14T16:39:31Z</dcterms:created>
  <dcterms:modified xmlns:dcterms="http://purl.org/dc/terms/" xmlns:xsi="http://www.w3.org/2001/XMLSchema-instance" xsi:type="dcterms:W3CDTF">2025-04-14T16:39:32Z</dcterms:modified>
</cp:coreProperties>
</file>