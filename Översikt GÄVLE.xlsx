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46182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46182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46182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46182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46182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46182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54803-2025</t>
        </is>
      </c>
      <c r="B8" s="1" t="n">
        <v>45966.64091435185</v>
      </c>
      <c r="C8" s="1" t="n">
        <v>46182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4.6</v>
      </c>
      <c r="H8" t="n">
        <v>2</v>
      </c>
      <c r="I8" t="n">
        <v>2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Kattunvisslare
Turkos blåvinge
Majviva
Skogsknipprot
Vårärt
Gullviva</t>
        </is>
      </c>
      <c r="S8">
        <f>HYPERLINK("https://klasma.github.io/Logging_2180/artfynd/A 54803-2025 artfynd.xlsx", "A 54803-2025")</f>
        <v/>
      </c>
      <c r="T8">
        <f>HYPERLINK("https://klasma.github.io/Logging_2180/kartor/A 54803-2025 karta.png", "A 54803-2025")</f>
        <v/>
      </c>
      <c r="V8">
        <f>HYPERLINK("https://klasma.github.io/Logging_2180/klagomål/A 54803-2025 FSC-klagomål.docx", "A 54803-2025")</f>
        <v/>
      </c>
      <c r="W8">
        <f>HYPERLINK("https://klasma.github.io/Logging_2180/klagomålsmail/A 54803-2025 FSC-klagomål mail.docx", "A 54803-2025")</f>
        <v/>
      </c>
      <c r="X8">
        <f>HYPERLINK("https://klasma.github.io/Logging_2180/tillsyn/A 54803-2025 tillsynsbegäran.docx", "A 54803-2025")</f>
        <v/>
      </c>
      <c r="Y8">
        <f>HYPERLINK("https://klasma.github.io/Logging_2180/tillsynsmail/A 54803-2025 tillsynsbegäran mail.docx", "A 54803-2025")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46182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46182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14564-2025</t>
        </is>
      </c>
      <c r="B11" s="1" t="n">
        <v>45741</v>
      </c>
      <c r="C11" s="1" t="n">
        <v>46182</v>
      </c>
      <c r="D11" t="inlineStr">
        <is>
          <t>GÄVLEBORGS LÄN</t>
        </is>
      </c>
      <c r="E11" t="inlineStr">
        <is>
          <t>GÄVLE</t>
        </is>
      </c>
      <c r="G11" t="n">
        <v>2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Garnlav
Guldlockmossa
Kattfotslav
Korallblylav</t>
        </is>
      </c>
      <c r="S11">
        <f>HYPERLINK("https://klasma.github.io/Logging_2180/artfynd/A 14564-2025 artfynd.xlsx", "A 14564-2025")</f>
        <v/>
      </c>
      <c r="T11">
        <f>HYPERLINK("https://klasma.github.io/Logging_2180/kartor/A 14564-2025 karta.png", "A 14564-2025")</f>
        <v/>
      </c>
      <c r="U11">
        <f>HYPERLINK("https://klasma.github.io/Logging_2180/knärot/A 14564-2025 karta knärot.png", "A 14564-2025")</f>
        <v/>
      </c>
      <c r="V11">
        <f>HYPERLINK("https://klasma.github.io/Logging_2180/klagomål/A 14564-2025 FSC-klagomål.docx", "A 14564-2025")</f>
        <v/>
      </c>
      <c r="W11">
        <f>HYPERLINK("https://klasma.github.io/Logging_2180/klagomålsmail/A 14564-2025 FSC-klagomål mail.docx", "A 14564-2025")</f>
        <v/>
      </c>
      <c r="X11">
        <f>HYPERLINK("https://klasma.github.io/Logging_2180/tillsyn/A 14564-2025 tillsynsbegäran.docx", "A 14564-2025")</f>
        <v/>
      </c>
      <c r="Y11">
        <f>HYPERLINK("https://klasma.github.io/Logging_2180/tillsynsmail/A 14564-2025 tillsynsbegäran mail.docx", "A 14564-2025")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46182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36471-2021</t>
        </is>
      </c>
      <c r="B13" s="1" t="n">
        <v>44390</v>
      </c>
      <c r="C13" s="1" t="n">
        <v>46182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Spillkråka
Tallticka
Tretåig hackspett
Gulnål</t>
        </is>
      </c>
      <c r="S13">
        <f>HYPERLINK("https://klasma.github.io/Logging_2180/artfynd/A 36471-2021 artfynd.xlsx", "A 36471-2021")</f>
        <v/>
      </c>
      <c r="T13">
        <f>HYPERLINK("https://klasma.github.io/Logging_2180/kartor/A 36471-2021 karta.png", "A 36471-2021")</f>
        <v/>
      </c>
      <c r="V13">
        <f>HYPERLINK("https://klasma.github.io/Logging_2180/klagomål/A 36471-2021 FSC-klagomål.docx", "A 36471-2021")</f>
        <v/>
      </c>
      <c r="W13">
        <f>HYPERLINK("https://klasma.github.io/Logging_2180/klagomålsmail/A 36471-2021 FSC-klagomål mail.docx", "A 36471-2021")</f>
        <v/>
      </c>
      <c r="X13">
        <f>HYPERLINK("https://klasma.github.io/Logging_2180/tillsyn/A 36471-2021 tillsynsbegäran.docx", "A 36471-2021")</f>
        <v/>
      </c>
      <c r="Y13">
        <f>HYPERLINK("https://klasma.github.io/Logging_2180/tillsynsmail/A 36471-2021 tillsynsbegäran mail.docx", "A 36471-2021")</f>
        <v/>
      </c>
      <c r="Z13">
        <f>HYPERLINK("https://klasma.github.io/Logging_2180/fåglar/A 36471-2021 prioriterade fågelarter.docx", "A 36471-2021")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46182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46182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11233-2025</t>
        </is>
      </c>
      <c r="B16" s="1" t="n">
        <v>45726.35946759259</v>
      </c>
      <c r="C16" s="1" t="n">
        <v>46182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3.8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Almsnabbvinge
Bredbrämad bastardsvärmare
Smalsprötad bastardsvärmare
Sotnätfjäril
Blåsippa</t>
        </is>
      </c>
      <c r="S16">
        <f>HYPERLINK("https://klasma.github.io/Logging_2180/artfynd/A 11233-2025 artfynd.xlsx", "A 11233-2025")</f>
        <v/>
      </c>
      <c r="T16">
        <f>HYPERLINK("https://klasma.github.io/Logging_2180/kartor/A 11233-2025 karta.png", "A 11233-2025")</f>
        <v/>
      </c>
      <c r="V16">
        <f>HYPERLINK("https://klasma.github.io/Logging_2180/klagomål/A 11233-2025 FSC-klagomål.docx", "A 11233-2025")</f>
        <v/>
      </c>
      <c r="W16">
        <f>HYPERLINK("https://klasma.github.io/Logging_2180/klagomålsmail/A 11233-2025 FSC-klagomål mail.docx", "A 11233-2025")</f>
        <v/>
      </c>
      <c r="X16">
        <f>HYPERLINK("https://klasma.github.io/Logging_2180/tillsyn/A 11233-2025 tillsynsbegäran.docx", "A 11233-2025")</f>
        <v/>
      </c>
      <c r="Y16">
        <f>HYPERLINK("https://klasma.github.io/Logging_2180/tillsynsmail/A 11233-2025 tillsynsbegäran mail.docx", "A 11233-2025")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46182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46182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 agg.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46182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46182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46182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46182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46182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46182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46182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46182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46182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46182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46182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46182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46182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3193-2026</t>
        </is>
      </c>
      <c r="B32" s="1" t="n">
        <v>46041.46563657407</v>
      </c>
      <c r="C32" s="1" t="n">
        <v>46182</v>
      </c>
      <c r="D32" t="inlineStr">
        <is>
          <t>GÄVLEBORGS LÄN</t>
        </is>
      </c>
      <c r="E32" t="inlineStr">
        <is>
          <t>GÄVLE</t>
        </is>
      </c>
      <c r="G32" t="n">
        <v>10.3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Trastsångare</t>
        </is>
      </c>
      <c r="S32">
        <f>HYPERLINK("https://klasma.github.io/Logging_2180/artfynd/A 3193-2026 artfynd.xlsx", "A 3193-2026")</f>
        <v/>
      </c>
      <c r="T32">
        <f>HYPERLINK("https://klasma.github.io/Logging_2180/kartor/A 3193-2026 karta.png", "A 3193-2026")</f>
        <v/>
      </c>
      <c r="V32">
        <f>HYPERLINK("https://klasma.github.io/Logging_2180/klagomål/A 3193-2026 FSC-klagomål.docx", "A 3193-2026")</f>
        <v/>
      </c>
      <c r="W32">
        <f>HYPERLINK("https://klasma.github.io/Logging_2180/klagomålsmail/A 3193-2026 FSC-klagomål mail.docx", "A 3193-2026")</f>
        <v/>
      </c>
      <c r="X32">
        <f>HYPERLINK("https://klasma.github.io/Logging_2180/tillsyn/A 3193-2026 tillsynsbegäran.docx", "A 3193-2026")</f>
        <v/>
      </c>
      <c r="Y32">
        <f>HYPERLINK("https://klasma.github.io/Logging_2180/tillsynsmail/A 3193-2026 tillsynsbegäran mail.docx", "A 3193-2026")</f>
        <v/>
      </c>
      <c r="Z32">
        <f>HYPERLINK("https://klasma.github.io/Logging_2180/fåglar/A 3193-2026 prioriterade fågelarter.docx", "A 3193-2026")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46182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46182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46182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46182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24904-2026</t>
        </is>
      </c>
      <c r="B37" s="1" t="n">
        <v>46174.48300925926</v>
      </c>
      <c r="C37" s="1" t="n">
        <v>46182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Höstlåsbräken
Månlåsbräken</t>
        </is>
      </c>
      <c r="S37">
        <f>HYPERLINK("https://klasma.github.io/Logging_2180/artfynd/A 24904-2026 artfynd.xlsx", "A 24904-2026")</f>
        <v/>
      </c>
      <c r="T37">
        <f>HYPERLINK("https://klasma.github.io/Logging_2180/kartor/A 24904-2026 karta.png", "A 24904-2026")</f>
        <v/>
      </c>
      <c r="V37">
        <f>HYPERLINK("https://klasma.github.io/Logging_2180/klagomål/A 24904-2026 FSC-klagomål.docx", "A 24904-2026")</f>
        <v/>
      </c>
      <c r="W37">
        <f>HYPERLINK("https://klasma.github.io/Logging_2180/klagomålsmail/A 24904-2026 FSC-klagomål mail.docx", "A 24904-2026")</f>
        <v/>
      </c>
      <c r="X37">
        <f>HYPERLINK("https://klasma.github.io/Logging_2180/tillsyn/A 24904-2026 tillsynsbegäran.docx", "A 24904-2026")</f>
        <v/>
      </c>
      <c r="Y37">
        <f>HYPERLINK("https://klasma.github.io/Logging_2180/tillsynsmail/A 24904-2026 tillsynsbegäran mail.docx", "A 24904-2026")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46182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12338-2025</t>
        </is>
      </c>
      <c r="B39" s="1" t="n">
        <v>45730</v>
      </c>
      <c r="C39" s="1" t="n">
        <v>46182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12338-2025 artfynd.xlsx", "A 12338-2025")</f>
        <v/>
      </c>
      <c r="T39">
        <f>HYPERLINK("https://klasma.github.io/Logging_2180/kartor/A 12338-2025 karta.png", "A 12338-2025")</f>
        <v/>
      </c>
      <c r="V39">
        <f>HYPERLINK("https://klasma.github.io/Logging_2180/klagomål/A 12338-2025 FSC-klagomål.docx", "A 12338-2025")</f>
        <v/>
      </c>
      <c r="W39">
        <f>HYPERLINK("https://klasma.github.io/Logging_2180/klagomålsmail/A 12338-2025 FSC-klagomål mail.docx", "A 12338-2025")</f>
        <v/>
      </c>
      <c r="X39">
        <f>HYPERLINK("https://klasma.github.io/Logging_2180/tillsyn/A 12338-2025 tillsynsbegäran.docx", "A 12338-2025")</f>
        <v/>
      </c>
      <c r="Y39">
        <f>HYPERLINK("https://klasma.github.io/Logging_2180/tillsynsmail/A 12338-2025 tillsynsbegäran mail.docx", "A 12338-2025")</f>
        <v/>
      </c>
    </row>
    <row r="40" ht="15" customHeight="1">
      <c r="A40" t="inlineStr">
        <is>
          <t>A 21282-2024</t>
        </is>
      </c>
      <c r="B40" s="1" t="n">
        <v>45440.65584490741</v>
      </c>
      <c r="C40" s="1" t="n">
        <v>46182</v>
      </c>
      <c r="D40" t="inlineStr">
        <is>
          <t>GÄVLEBORGS LÄN</t>
        </is>
      </c>
      <c r="E40" t="inlineStr">
        <is>
          <t>GÄVLE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21282-2024 artfynd.xlsx", "A 21282-2024")</f>
        <v/>
      </c>
      <c r="T40">
        <f>HYPERLINK("https://klasma.github.io/Logging_2180/kartor/A 21282-2024 karta.png", "A 21282-2024")</f>
        <v/>
      </c>
      <c r="V40">
        <f>HYPERLINK("https://klasma.github.io/Logging_2180/klagomål/A 21282-2024 FSC-klagomål.docx", "A 21282-2024")</f>
        <v/>
      </c>
      <c r="W40">
        <f>HYPERLINK("https://klasma.github.io/Logging_2180/klagomålsmail/A 21282-2024 FSC-klagomål mail.docx", "A 21282-2024")</f>
        <v/>
      </c>
      <c r="X40">
        <f>HYPERLINK("https://klasma.github.io/Logging_2180/tillsyn/A 21282-2024 tillsynsbegäran.docx", "A 21282-2024")</f>
        <v/>
      </c>
      <c r="Y40">
        <f>HYPERLINK("https://klasma.github.io/Logging_2180/tillsynsmail/A 21282-2024 tillsynsbegäran mail.docx", "A 21282-2024")</f>
        <v/>
      </c>
    </row>
    <row r="41" ht="15" customHeight="1">
      <c r="A41" t="inlineStr">
        <is>
          <t>A 57932-2024</t>
        </is>
      </c>
      <c r="B41" s="1" t="n">
        <v>45631.52961805555</v>
      </c>
      <c r="C41" s="1" t="n">
        <v>46182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48.7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HYPERLINK("https://klasma.github.io/Logging_2180/artfynd/A 57932-2024 artfynd.xlsx", "A 57932-2024")</f>
        <v/>
      </c>
      <c r="T41">
        <f>HYPERLINK("https://klasma.github.io/Logging_2180/kartor/A 57932-2024 karta.png", "A 57932-2024")</f>
        <v/>
      </c>
      <c r="V41">
        <f>HYPERLINK("https://klasma.github.io/Logging_2180/klagomål/A 57932-2024 FSC-klagomål.docx", "A 57932-2024")</f>
        <v/>
      </c>
      <c r="W41">
        <f>HYPERLINK("https://klasma.github.io/Logging_2180/klagomålsmail/A 57932-2024 FSC-klagomål mail.docx", "A 57932-2024")</f>
        <v/>
      </c>
      <c r="X41">
        <f>HYPERLINK("https://klasma.github.io/Logging_2180/tillsyn/A 57932-2024 tillsynsbegäran.docx", "A 57932-2024")</f>
        <v/>
      </c>
      <c r="Y41">
        <f>HYPERLINK("https://klasma.github.io/Logging_2180/tillsynsmail/A 57932-2024 tillsynsbegäran mail.docx", "A 57932-2024")</f>
        <v/>
      </c>
      <c r="Z41">
        <f>HYPERLINK("https://klasma.github.io/Logging_2180/fåglar/A 57932-2024 prioriterade fågelarter.docx", "A 57932-2024")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46182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46182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46182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11411-2025</t>
        </is>
      </c>
      <c r="B45" s="1" t="n">
        <v>45726.59087962963</v>
      </c>
      <c r="C45" s="1" t="n">
        <v>46182</v>
      </c>
      <c r="D45" t="inlineStr">
        <is>
          <t>GÄVLEBORGS LÄN</t>
        </is>
      </c>
      <c r="E45" t="inlineStr">
        <is>
          <t>GÄVLE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11411-2025 artfynd.xlsx", "A 11411-2025")</f>
        <v/>
      </c>
      <c r="T45">
        <f>HYPERLINK("https://klasma.github.io/Logging_2180/kartor/A 11411-2025 karta.png", "A 11411-2025")</f>
        <v/>
      </c>
      <c r="V45">
        <f>HYPERLINK("https://klasma.github.io/Logging_2180/klagomål/A 11411-2025 FSC-klagomål.docx", "A 11411-2025")</f>
        <v/>
      </c>
      <c r="W45">
        <f>HYPERLINK("https://klasma.github.io/Logging_2180/klagomålsmail/A 11411-2025 FSC-klagomål mail.docx", "A 11411-2025")</f>
        <v/>
      </c>
      <c r="X45">
        <f>HYPERLINK("https://klasma.github.io/Logging_2180/tillsyn/A 11411-2025 tillsynsbegäran.docx", "A 11411-2025")</f>
        <v/>
      </c>
      <c r="Y45">
        <f>HYPERLINK("https://klasma.github.io/Logging_2180/tillsynsmail/A 11411-2025 tillsynsbegäran mail.docx", "A 11411-2025")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46182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28875-2025</t>
        </is>
      </c>
      <c r="B47" s="1" t="n">
        <v>45820</v>
      </c>
      <c r="C47" s="1" t="n">
        <v>46182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43.3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HYPERLINK("https://klasma.github.io/Logging_2180/artfynd/A 28875-2025 artfynd.xlsx", "A 28875-2025")</f>
        <v/>
      </c>
      <c r="T47">
        <f>HYPERLINK("https://klasma.github.io/Logging_2180/kartor/A 28875-2025 karta.png", "A 28875-2025")</f>
        <v/>
      </c>
      <c r="V47">
        <f>HYPERLINK("https://klasma.github.io/Logging_2180/klagomål/A 28875-2025 FSC-klagomål.docx", "A 28875-2025")</f>
        <v/>
      </c>
      <c r="W47">
        <f>HYPERLINK("https://klasma.github.io/Logging_2180/klagomålsmail/A 28875-2025 FSC-klagomål mail.docx", "A 28875-2025")</f>
        <v/>
      </c>
      <c r="X47">
        <f>HYPERLINK("https://klasma.github.io/Logging_2180/tillsyn/A 28875-2025 tillsynsbegäran.docx", "A 28875-2025")</f>
        <v/>
      </c>
      <c r="Y47">
        <f>HYPERLINK("https://klasma.github.io/Logging_2180/tillsynsmail/A 28875-2025 tillsynsbegäran mail.docx", "A 28875-2025")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46182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46182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54252-2025</t>
        </is>
      </c>
      <c r="B50" s="1" t="n">
        <v>45964.64814814815</v>
      </c>
      <c r="C50" s="1" t="n">
        <v>46182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HYPERLINK("https://klasma.github.io/Logging_2180/artfynd/A 54252-2025 artfynd.xlsx", "A 54252-2025")</f>
        <v/>
      </c>
      <c r="T50">
        <f>HYPERLINK("https://klasma.github.io/Logging_2180/kartor/A 54252-2025 karta.png", "A 54252-2025")</f>
        <v/>
      </c>
      <c r="V50">
        <f>HYPERLINK("https://klasma.github.io/Logging_2180/klagomål/A 54252-2025 FSC-klagomål.docx", "A 54252-2025")</f>
        <v/>
      </c>
      <c r="W50">
        <f>HYPERLINK("https://klasma.github.io/Logging_2180/klagomålsmail/A 54252-2025 FSC-klagomål mail.docx", "A 54252-2025")</f>
        <v/>
      </c>
      <c r="X50">
        <f>HYPERLINK("https://klasma.github.io/Logging_2180/tillsyn/A 54252-2025 tillsynsbegäran.docx", "A 54252-2025")</f>
        <v/>
      </c>
      <c r="Y50">
        <f>HYPERLINK("https://klasma.github.io/Logging_2180/tillsynsmail/A 54252-2025 tillsynsbegäran mail.docx", "A 54252-2025")</f>
        <v/>
      </c>
    </row>
    <row r="51" ht="15" customHeight="1">
      <c r="A51" t="inlineStr">
        <is>
          <t>A 54963-2025</t>
        </is>
      </c>
      <c r="B51" s="1" t="n">
        <v>45967.48527777778</v>
      </c>
      <c r="C51" s="1" t="n">
        <v>46182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54963-2025 artfynd.xlsx", "A 54963-2025")</f>
        <v/>
      </c>
      <c r="T51">
        <f>HYPERLINK("https://klasma.github.io/Logging_2180/kartor/A 54963-2025 karta.png", "A 54963-2025")</f>
        <v/>
      </c>
      <c r="V51">
        <f>HYPERLINK("https://klasma.github.io/Logging_2180/klagomål/A 54963-2025 FSC-klagomål.docx", "A 54963-2025")</f>
        <v/>
      </c>
      <c r="W51">
        <f>HYPERLINK("https://klasma.github.io/Logging_2180/klagomålsmail/A 54963-2025 FSC-klagomål mail.docx", "A 54963-2025")</f>
        <v/>
      </c>
      <c r="X51">
        <f>HYPERLINK("https://klasma.github.io/Logging_2180/tillsyn/A 54963-2025 tillsynsbegäran.docx", "A 54963-2025")</f>
        <v/>
      </c>
      <c r="Y51">
        <f>HYPERLINK("https://klasma.github.io/Logging_2180/tillsynsmail/A 54963-2025 tillsynsbegäran mail.docx", "A 54963-2025")</f>
        <v/>
      </c>
    </row>
    <row r="52" ht="15" customHeight="1">
      <c r="A52" t="inlineStr">
        <is>
          <t>A 11088-2026</t>
        </is>
      </c>
      <c r="B52" s="1" t="n">
        <v>46079.62914351852</v>
      </c>
      <c r="C52" s="1" t="n">
        <v>46182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HYPERLINK("https://klasma.github.io/Logging_2180/artfynd/A 11088-2026 artfynd.xlsx", "A 11088-2026")</f>
        <v/>
      </c>
      <c r="T52">
        <f>HYPERLINK("https://klasma.github.io/Logging_2180/kartor/A 11088-2026 karta.png", "A 11088-2026")</f>
        <v/>
      </c>
      <c r="V52">
        <f>HYPERLINK("https://klasma.github.io/Logging_2180/klagomål/A 11088-2026 FSC-klagomål.docx", "A 11088-2026")</f>
        <v/>
      </c>
      <c r="W52">
        <f>HYPERLINK("https://klasma.github.io/Logging_2180/klagomålsmail/A 11088-2026 FSC-klagomål mail.docx", "A 11088-2026")</f>
        <v/>
      </c>
      <c r="X52">
        <f>HYPERLINK("https://klasma.github.io/Logging_2180/tillsyn/A 11088-2026 tillsynsbegäran.docx", "A 11088-2026")</f>
        <v/>
      </c>
      <c r="Y52">
        <f>HYPERLINK("https://klasma.github.io/Logging_2180/tillsynsmail/A 11088-2026 tillsynsbegäran mail.docx", "A 11088-2026")</f>
        <v/>
      </c>
      <c r="Z52">
        <f>HYPERLINK("https://klasma.github.io/Logging_2180/fåglar/A 11088-2026 prioriterade fågelarter.docx", "A 11088-2026")</f>
        <v/>
      </c>
    </row>
    <row r="53" ht="15" customHeight="1">
      <c r="A53" t="inlineStr">
        <is>
          <t>A 29840-2023</t>
        </is>
      </c>
      <c r="B53" s="1" t="n">
        <v>45107.58261574074</v>
      </c>
      <c r="C53" s="1" t="n">
        <v>46182</v>
      </c>
      <c r="D53" t="inlineStr">
        <is>
          <t>GÄVLEBORGS LÄN</t>
        </is>
      </c>
      <c r="E53" t="inlineStr">
        <is>
          <t>GÄVLE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HYPERLINK("https://klasma.github.io/Logging_2180/artfynd/A 29840-2023 artfynd.xlsx", "A 29840-2023")</f>
        <v/>
      </c>
      <c r="T53">
        <f>HYPERLINK("https://klasma.github.io/Logging_2180/kartor/A 29840-2023 karta.png", "A 29840-2023")</f>
        <v/>
      </c>
      <c r="V53">
        <f>HYPERLINK("https://klasma.github.io/Logging_2180/klagomål/A 29840-2023 FSC-klagomål.docx", "A 29840-2023")</f>
        <v/>
      </c>
      <c r="W53">
        <f>HYPERLINK("https://klasma.github.io/Logging_2180/klagomålsmail/A 29840-2023 FSC-klagomål mail.docx", "A 29840-2023")</f>
        <v/>
      </c>
      <c r="X53">
        <f>HYPERLINK("https://klasma.github.io/Logging_2180/tillsyn/A 29840-2023 tillsynsbegäran.docx", "A 29840-2023")</f>
        <v/>
      </c>
      <c r="Y53">
        <f>HYPERLINK("https://klasma.github.io/Logging_2180/tillsynsmail/A 29840-2023 tillsynsbegäran mail.docx", "A 29840-2023")</f>
        <v/>
      </c>
      <c r="Z53">
        <f>HYPERLINK("https://klasma.github.io/Logging_2180/fåglar/A 29840-2023 prioriterade fågelarter.docx", "A 29840-2023")</f>
        <v/>
      </c>
    </row>
    <row r="54" ht="15" customHeight="1">
      <c r="A54" t="inlineStr">
        <is>
          <t>A 58204-2025</t>
        </is>
      </c>
      <c r="B54" s="1" t="n">
        <v>45984.61032407408</v>
      </c>
      <c r="C54" s="1" t="n">
        <v>46182</v>
      </c>
      <c r="D54" t="inlineStr">
        <is>
          <t>GÄVLEBORGS LÄN</t>
        </is>
      </c>
      <c r="E54" t="inlineStr">
        <is>
          <t>GÄVLE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58204-2025 artfynd.xlsx", "A 58204-2025")</f>
        <v/>
      </c>
      <c r="T54">
        <f>HYPERLINK("https://klasma.github.io/Logging_2180/kartor/A 58204-2025 karta.png", "A 58204-2025")</f>
        <v/>
      </c>
      <c r="V54">
        <f>HYPERLINK("https://klasma.github.io/Logging_2180/klagomål/A 58204-2025 FSC-klagomål.docx", "A 58204-2025")</f>
        <v/>
      </c>
      <c r="W54">
        <f>HYPERLINK("https://klasma.github.io/Logging_2180/klagomålsmail/A 58204-2025 FSC-klagomål mail.docx", "A 58204-2025")</f>
        <v/>
      </c>
      <c r="X54">
        <f>HYPERLINK("https://klasma.github.io/Logging_2180/tillsyn/A 58204-2025 tillsynsbegäran.docx", "A 58204-2025")</f>
        <v/>
      </c>
      <c r="Y54">
        <f>HYPERLINK("https://klasma.github.io/Logging_2180/tillsynsmail/A 58204-2025 tillsynsbegäran mail.docx", "A 58204-2025")</f>
        <v/>
      </c>
      <c r="Z54">
        <f>HYPERLINK("https://klasma.github.io/Logging_2180/fåglar/A 58204-2025 prioriterade fågelarter.docx", "A 58204-2025")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46182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50052-2025</t>
        </is>
      </c>
      <c r="B56" s="1" t="n">
        <v>45943.42305555556</v>
      </c>
      <c r="C56" s="1" t="n">
        <v>46182</v>
      </c>
      <c r="D56" t="inlineStr">
        <is>
          <t>GÄVLEBORGS LÄN</t>
        </is>
      </c>
      <c r="E56" t="inlineStr">
        <is>
          <t>GÄVLE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HYPERLINK("https://klasma.github.io/Logging_2180/artfynd/A 50052-2025 artfynd.xlsx", "A 50052-2025")</f>
        <v/>
      </c>
      <c r="T56">
        <f>HYPERLINK("https://klasma.github.io/Logging_2180/kartor/A 50052-2025 karta.png", "A 50052-2025")</f>
        <v/>
      </c>
      <c r="V56">
        <f>HYPERLINK("https://klasma.github.io/Logging_2180/klagomål/A 50052-2025 FSC-klagomål.docx", "A 50052-2025")</f>
        <v/>
      </c>
      <c r="W56">
        <f>HYPERLINK("https://klasma.github.io/Logging_2180/klagomålsmail/A 50052-2025 FSC-klagomål mail.docx", "A 50052-2025")</f>
        <v/>
      </c>
      <c r="X56">
        <f>HYPERLINK("https://klasma.github.io/Logging_2180/tillsyn/A 50052-2025 tillsynsbegäran.docx", "A 50052-2025")</f>
        <v/>
      </c>
      <c r="Y56">
        <f>HYPERLINK("https://klasma.github.io/Logging_2180/tillsynsmail/A 50052-2025 tillsynsbegäran mail.docx", "A 50052-2025")</f>
        <v/>
      </c>
    </row>
    <row r="57" ht="15" customHeight="1">
      <c r="A57" t="inlineStr">
        <is>
          <t>A 13269-2026</t>
        </is>
      </c>
      <c r="B57" s="1" t="n">
        <v>46093.69032407407</v>
      </c>
      <c r="C57" s="1" t="n">
        <v>46182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HYPERLINK("https://klasma.github.io/Logging_2180/artfynd/A 13269-2026 artfynd.xlsx", "A 13269-2026")</f>
        <v/>
      </c>
      <c r="T57">
        <f>HYPERLINK("https://klasma.github.io/Logging_2180/kartor/A 13269-2026 karta.png", "A 13269-2026")</f>
        <v/>
      </c>
      <c r="V57">
        <f>HYPERLINK("https://klasma.github.io/Logging_2180/klagomål/A 13269-2026 FSC-klagomål.docx", "A 13269-2026")</f>
        <v/>
      </c>
      <c r="W57">
        <f>HYPERLINK("https://klasma.github.io/Logging_2180/klagomålsmail/A 13269-2026 FSC-klagomål mail.docx", "A 13269-2026")</f>
        <v/>
      </c>
      <c r="X57">
        <f>HYPERLINK("https://klasma.github.io/Logging_2180/tillsyn/A 13269-2026 tillsynsbegäran.docx", "A 13269-2026")</f>
        <v/>
      </c>
      <c r="Y57">
        <f>HYPERLINK("https://klasma.github.io/Logging_2180/tillsynsmail/A 13269-2026 tillsynsbegäran mail.docx", "A 13269-2026")</f>
        <v/>
      </c>
      <c r="Z57">
        <f>HYPERLINK("https://klasma.github.io/Logging_2180/fåglar/A 13269-2026 prioriterade fågelarter.docx", "A 13269-2026")</f>
        <v/>
      </c>
    </row>
    <row r="58" ht="15" customHeight="1">
      <c r="A58" t="inlineStr">
        <is>
          <t>A 13684-2026</t>
        </is>
      </c>
      <c r="B58" s="1" t="n">
        <v>46097</v>
      </c>
      <c r="C58" s="1" t="n">
        <v>46182</v>
      </c>
      <c r="D58" t="inlineStr">
        <is>
          <t>GÄVLEBORGS LÄN</t>
        </is>
      </c>
      <c r="E58" t="inlineStr">
        <is>
          <t>GÄVLE</t>
        </is>
      </c>
      <c r="G58" t="n">
        <v>21.3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HYPERLINK("https://klasma.github.io/Logging_2180/artfynd/A 13684-2026 artfynd.xlsx", "A 13684-2026")</f>
        <v/>
      </c>
      <c r="T58">
        <f>HYPERLINK("https://klasma.github.io/Logging_2180/kartor/A 13684-2026 karta.png", "A 13684-2026")</f>
        <v/>
      </c>
      <c r="V58">
        <f>HYPERLINK("https://klasma.github.io/Logging_2180/klagomål/A 13684-2026 FSC-klagomål.docx", "A 13684-2026")</f>
        <v/>
      </c>
      <c r="W58">
        <f>HYPERLINK("https://klasma.github.io/Logging_2180/klagomålsmail/A 13684-2026 FSC-klagomål mail.docx", "A 13684-2026")</f>
        <v/>
      </c>
      <c r="X58">
        <f>HYPERLINK("https://klasma.github.io/Logging_2180/tillsyn/A 13684-2026 tillsynsbegäran.docx", "A 13684-2026")</f>
        <v/>
      </c>
      <c r="Y58">
        <f>HYPERLINK("https://klasma.github.io/Logging_2180/tillsynsmail/A 13684-2026 tillsynsbegäran mail.docx", "A 13684-2026")</f>
        <v/>
      </c>
    </row>
    <row r="59" ht="15" customHeight="1">
      <c r="A59" t="inlineStr">
        <is>
          <t>A 20676-2026</t>
        </is>
      </c>
      <c r="B59" s="1" t="n">
        <v>46141.44532407408</v>
      </c>
      <c r="C59" s="1" t="n">
        <v>46182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14.7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HYPERLINK("https://klasma.github.io/Logging_2180/artfynd/A 20676-2026 artfynd.xlsx", "A 20676-2026")</f>
        <v/>
      </c>
      <c r="T59">
        <f>HYPERLINK("https://klasma.github.io/Logging_2180/kartor/A 20676-2026 karta.png", "A 20676-2026")</f>
        <v/>
      </c>
      <c r="V59">
        <f>HYPERLINK("https://klasma.github.io/Logging_2180/klagomål/A 20676-2026 FSC-klagomål.docx", "A 20676-2026")</f>
        <v/>
      </c>
      <c r="W59">
        <f>HYPERLINK("https://klasma.github.io/Logging_2180/klagomålsmail/A 20676-2026 FSC-klagomål mail.docx", "A 20676-2026")</f>
        <v/>
      </c>
      <c r="X59">
        <f>HYPERLINK("https://klasma.github.io/Logging_2180/tillsyn/A 20676-2026 tillsynsbegäran.docx", "A 20676-2026")</f>
        <v/>
      </c>
      <c r="Y59">
        <f>HYPERLINK("https://klasma.github.io/Logging_2180/tillsynsmail/A 20676-2026 tillsynsbegäran mail.docx", "A 20676-2026")</f>
        <v/>
      </c>
      <c r="Z59">
        <f>HYPERLINK("https://klasma.github.io/Logging_2180/fåglar/A 20676-2026 prioriterade fågelarter.docx", "A 20676-2026")</f>
        <v/>
      </c>
    </row>
    <row r="60" ht="15" customHeight="1">
      <c r="A60" t="inlineStr">
        <is>
          <t>A 23257-2026</t>
        </is>
      </c>
      <c r="B60" s="1" t="n">
        <v>46162.44547453704</v>
      </c>
      <c r="C60" s="1" t="n">
        <v>46182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HYPERLINK("https://klasma.github.io/Logging_2180/artfynd/A 23257-2026 artfynd.xlsx", "A 23257-2026")</f>
        <v/>
      </c>
      <c r="T60">
        <f>HYPERLINK("https://klasma.github.io/Logging_2180/kartor/A 23257-2026 karta.png", "A 23257-2026")</f>
        <v/>
      </c>
      <c r="V60">
        <f>HYPERLINK("https://klasma.github.io/Logging_2180/klagomål/A 23257-2026 FSC-klagomål.docx", "A 23257-2026")</f>
        <v/>
      </c>
      <c r="W60">
        <f>HYPERLINK("https://klasma.github.io/Logging_2180/klagomålsmail/A 23257-2026 FSC-klagomål mail.docx", "A 23257-2026")</f>
        <v/>
      </c>
      <c r="X60">
        <f>HYPERLINK("https://klasma.github.io/Logging_2180/tillsyn/A 23257-2026 tillsynsbegäran.docx", "A 23257-2026")</f>
        <v/>
      </c>
      <c r="Y60">
        <f>HYPERLINK("https://klasma.github.io/Logging_2180/tillsynsmail/A 23257-2026 tillsynsbegäran mail.docx", "A 23257-2026")</f>
        <v/>
      </c>
      <c r="Z60">
        <f>HYPERLINK("https://klasma.github.io/Logging_2180/fåglar/A 23257-2026 prioriterade fågelarter.docx", "A 23257-2026")</f>
        <v/>
      </c>
    </row>
    <row r="61" ht="15" customHeight="1">
      <c r="A61" t="inlineStr">
        <is>
          <t>A 17251-2026</t>
        </is>
      </c>
      <c r="B61" s="1" t="n">
        <v>46119.44712962963</v>
      </c>
      <c r="C61" s="1" t="n">
        <v>46182</v>
      </c>
      <c r="D61" t="inlineStr">
        <is>
          <t>GÄVLEBORGS LÄN</t>
        </is>
      </c>
      <c r="E61" t="inlineStr">
        <is>
          <t>GÄVLE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17251-2026 artfynd.xlsx", "A 17251-2026")</f>
        <v/>
      </c>
      <c r="T61">
        <f>HYPERLINK("https://klasma.github.io/Logging_2180/kartor/A 17251-2026 karta.png", "A 17251-2026")</f>
        <v/>
      </c>
      <c r="V61">
        <f>HYPERLINK("https://klasma.github.io/Logging_2180/klagomål/A 17251-2026 FSC-klagomål.docx", "A 17251-2026")</f>
        <v/>
      </c>
      <c r="W61">
        <f>HYPERLINK("https://klasma.github.io/Logging_2180/klagomålsmail/A 17251-2026 FSC-klagomål mail.docx", "A 17251-2026")</f>
        <v/>
      </c>
      <c r="X61">
        <f>HYPERLINK("https://klasma.github.io/Logging_2180/tillsyn/A 17251-2026 tillsynsbegäran.docx", "A 17251-2026")</f>
        <v/>
      </c>
      <c r="Y61">
        <f>HYPERLINK("https://klasma.github.io/Logging_2180/tillsynsmail/A 17251-2026 tillsynsbegäran mail.docx", "A 17251-2026")</f>
        <v/>
      </c>
    </row>
    <row r="62" ht="15" customHeight="1">
      <c r="A62" t="inlineStr">
        <is>
          <t>A 51508-2024</t>
        </is>
      </c>
      <c r="B62" s="1" t="n">
        <v>45604.55732638889</v>
      </c>
      <c r="C62" s="1" t="n">
        <v>46182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18060-2026</t>
        </is>
      </c>
      <c r="B63" s="1" t="n">
        <v>46125</v>
      </c>
      <c r="C63" s="1" t="n">
        <v>46182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24.4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HYPERLINK("https://klasma.github.io/Logging_2180/artfynd/A 18060-2026 artfynd.xlsx", "A 18060-2026")</f>
        <v/>
      </c>
      <c r="T63">
        <f>HYPERLINK("https://klasma.github.io/Logging_2180/kartor/A 18060-2026 karta.png", "A 18060-2026")</f>
        <v/>
      </c>
      <c r="V63">
        <f>HYPERLINK("https://klasma.github.io/Logging_2180/klagomål/A 18060-2026 FSC-klagomål.docx", "A 18060-2026")</f>
        <v/>
      </c>
      <c r="W63">
        <f>HYPERLINK("https://klasma.github.io/Logging_2180/klagomålsmail/A 18060-2026 FSC-klagomål mail.docx", "A 18060-2026")</f>
        <v/>
      </c>
      <c r="X63">
        <f>HYPERLINK("https://klasma.github.io/Logging_2180/tillsyn/A 18060-2026 tillsynsbegäran.docx", "A 18060-2026")</f>
        <v/>
      </c>
      <c r="Y63">
        <f>HYPERLINK("https://klasma.github.io/Logging_2180/tillsynsmail/A 18060-2026 tillsynsbegäran mail.docx", "A 18060-2026")</f>
        <v/>
      </c>
    </row>
    <row r="64" ht="15" customHeight="1">
      <c r="A64" t="inlineStr">
        <is>
          <t>A 15757-2026</t>
        </is>
      </c>
      <c r="B64" s="1" t="n">
        <v>46107</v>
      </c>
      <c r="C64" s="1" t="n">
        <v>46182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15757-2026 artfynd.xlsx", "A 15757-2026")</f>
        <v/>
      </c>
      <c r="T64">
        <f>HYPERLINK("https://klasma.github.io/Logging_2180/kartor/A 15757-2026 karta.png", "A 15757-2026")</f>
        <v/>
      </c>
      <c r="V64">
        <f>HYPERLINK("https://klasma.github.io/Logging_2180/klagomål/A 15757-2026 FSC-klagomål.docx", "A 15757-2026")</f>
        <v/>
      </c>
      <c r="W64">
        <f>HYPERLINK("https://klasma.github.io/Logging_2180/klagomålsmail/A 15757-2026 FSC-klagomål mail.docx", "A 15757-2026")</f>
        <v/>
      </c>
      <c r="X64">
        <f>HYPERLINK("https://klasma.github.io/Logging_2180/tillsyn/A 15757-2026 tillsynsbegäran.docx", "A 15757-2026")</f>
        <v/>
      </c>
      <c r="Y64">
        <f>HYPERLINK("https://klasma.github.io/Logging_2180/tillsynsmail/A 15757-2026 tillsynsbegäran mail.docx", "A 15757-2026")</f>
        <v/>
      </c>
      <c r="Z64">
        <f>HYPERLINK("https://klasma.github.io/Logging_2180/fåglar/A 15757-2026 prioriterade fågelarter.docx", "A 15757-2026")</f>
        <v/>
      </c>
    </row>
    <row r="65" ht="15" customHeight="1">
      <c r="A65" t="inlineStr">
        <is>
          <t>A 20323-2026</t>
        </is>
      </c>
      <c r="B65" s="1" t="n">
        <v>46139.60175925926</v>
      </c>
      <c r="C65" s="1" t="n">
        <v>46182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20323-2026 artfynd.xlsx", "A 20323-2026")</f>
        <v/>
      </c>
      <c r="T65">
        <f>HYPERLINK("https://klasma.github.io/Logging_2180/kartor/A 20323-2026 karta.png", "A 20323-2026")</f>
        <v/>
      </c>
      <c r="V65">
        <f>HYPERLINK("https://klasma.github.io/Logging_2180/klagomål/A 20323-2026 FSC-klagomål.docx", "A 20323-2026")</f>
        <v/>
      </c>
      <c r="W65">
        <f>HYPERLINK("https://klasma.github.io/Logging_2180/klagomålsmail/A 20323-2026 FSC-klagomål mail.docx", "A 20323-2026")</f>
        <v/>
      </c>
      <c r="X65">
        <f>HYPERLINK("https://klasma.github.io/Logging_2180/tillsyn/A 20323-2026 tillsynsbegäran.docx", "A 20323-2026")</f>
        <v/>
      </c>
      <c r="Y65">
        <f>HYPERLINK("https://klasma.github.io/Logging_2180/tillsynsmail/A 20323-2026 tillsynsbegäran mail.docx", "A 20323-2026")</f>
        <v/>
      </c>
      <c r="Z65">
        <f>HYPERLINK("https://klasma.github.io/Logging_2180/fåglar/A 20323-2026 prioriterade fågelarter.docx", "A 20323-2026")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46182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53049-2022</t>
        </is>
      </c>
      <c r="B67" s="1" t="n">
        <v>44876</v>
      </c>
      <c r="C67" s="1" t="n">
        <v>46182</v>
      </c>
      <c r="D67" t="inlineStr">
        <is>
          <t>GÄVLEBORGS LÄN</t>
        </is>
      </c>
      <c r="E67" t="inlineStr">
        <is>
          <t>GÄVLE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66494-2021</t>
        </is>
      </c>
      <c r="B68" s="1" t="n">
        <v>44519.0362962963</v>
      </c>
      <c r="C68" s="1" t="n">
        <v>46182</v>
      </c>
      <c r="D68" t="inlineStr">
        <is>
          <t>GÄVLEBORGS LÄN</t>
        </is>
      </c>
      <c r="E68" t="inlineStr">
        <is>
          <t>GÄVLE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28757-2022</t>
        </is>
      </c>
      <c r="B69" s="1" t="n">
        <v>44749.32502314815</v>
      </c>
      <c r="C69" s="1" t="n">
        <v>46182</v>
      </c>
      <c r="D69" t="inlineStr">
        <is>
          <t>GÄVLEBORGS LÄN</t>
        </is>
      </c>
      <c r="E69" t="inlineStr">
        <is>
          <t>GÄVLE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55189-2022</t>
        </is>
      </c>
      <c r="B70" s="1" t="n">
        <v>44886.91054398148</v>
      </c>
      <c r="C70" s="1" t="n">
        <v>46182</v>
      </c>
      <c r="D70" t="inlineStr">
        <is>
          <t>GÄVLEBORGS LÄN</t>
        </is>
      </c>
      <c r="E70" t="inlineStr">
        <is>
          <t>GÄVLE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46182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32008-2021</t>
        </is>
      </c>
      <c r="B72" s="1" t="n">
        <v>44370.63228009259</v>
      </c>
      <c r="C72" s="1" t="n">
        <v>46182</v>
      </c>
      <c r="D72" t="inlineStr">
        <is>
          <t>GÄVLEBORGS LÄN</t>
        </is>
      </c>
      <c r="E72" t="inlineStr">
        <is>
          <t>GÄVLE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11235-2022</t>
        </is>
      </c>
      <c r="B73" s="1" t="n">
        <v>44629.59020833333</v>
      </c>
      <c r="C73" s="1" t="n">
        <v>46182</v>
      </c>
      <c r="D73" t="inlineStr">
        <is>
          <t>GÄVLEBORGS LÄN</t>
        </is>
      </c>
      <c r="E73" t="inlineStr">
        <is>
          <t>GÄVLE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36768-2022</t>
        </is>
      </c>
      <c r="B74" s="1" t="n">
        <v>44805.45609953703</v>
      </c>
      <c r="C74" s="1" t="n">
        <v>46182</v>
      </c>
      <c r="D74" t="inlineStr">
        <is>
          <t>GÄVLEBORGS LÄN</t>
        </is>
      </c>
      <c r="E74" t="inlineStr">
        <is>
          <t>GÄVLE</t>
        </is>
      </c>
      <c r="F74" t="inlineStr">
        <is>
          <t>Kyrkan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59810-2021</t>
        </is>
      </c>
      <c r="B75" s="1" t="n">
        <v>44494</v>
      </c>
      <c r="C75" s="1" t="n">
        <v>46182</v>
      </c>
      <c r="D75" t="inlineStr">
        <is>
          <t>GÄVLEBORGS LÄN</t>
        </is>
      </c>
      <c r="E75" t="inlineStr">
        <is>
          <t>GÄVLE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26349-2022</t>
        </is>
      </c>
      <c r="B76" s="1" t="n">
        <v>44735</v>
      </c>
      <c r="C76" s="1" t="n">
        <v>46182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31535-2022</t>
        </is>
      </c>
      <c r="B77" s="1" t="n">
        <v>44775.34788194444</v>
      </c>
      <c r="C77" s="1" t="n">
        <v>46182</v>
      </c>
      <c r="D77" t="inlineStr">
        <is>
          <t>GÄVLEBORGS LÄN</t>
        </is>
      </c>
      <c r="E77" t="inlineStr">
        <is>
          <t>GÄVLE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51809-2021</t>
        </is>
      </c>
      <c r="B78" s="1" t="n">
        <v>44462.64712962963</v>
      </c>
      <c r="C78" s="1" t="n">
        <v>46182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1634-2022</t>
        </is>
      </c>
      <c r="B79" s="1" t="n">
        <v>44573</v>
      </c>
      <c r="C79" s="1" t="n">
        <v>46182</v>
      </c>
      <c r="D79" t="inlineStr">
        <is>
          <t>GÄVLEBORGS LÄN</t>
        </is>
      </c>
      <c r="E79" t="inlineStr">
        <is>
          <t>GÄVLE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15704-2022</t>
        </is>
      </c>
      <c r="B80" s="1" t="n">
        <v>44663.44313657407</v>
      </c>
      <c r="C80" s="1" t="n">
        <v>46182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54393-2022</t>
        </is>
      </c>
      <c r="B81" s="1" t="n">
        <v>44882.52832175926</v>
      </c>
      <c r="C81" s="1" t="n">
        <v>46182</v>
      </c>
      <c r="D81" t="inlineStr">
        <is>
          <t>GÄVLEBORGS LÄN</t>
        </is>
      </c>
      <c r="E81" t="inlineStr">
        <is>
          <t>GÄVLE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29933-2022</t>
        </is>
      </c>
      <c r="B82" s="1" t="n">
        <v>44756.58375</v>
      </c>
      <c r="C82" s="1" t="n">
        <v>46182</v>
      </c>
      <c r="D82" t="inlineStr">
        <is>
          <t>GÄVLEBORGS LÄN</t>
        </is>
      </c>
      <c r="E82" t="inlineStr">
        <is>
          <t>GÄVLE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38447-2022</t>
        </is>
      </c>
      <c r="B83" s="1" t="n">
        <v>44813.51212962963</v>
      </c>
      <c r="C83" s="1" t="n">
        <v>46182</v>
      </c>
      <c r="D83" t="inlineStr">
        <is>
          <t>GÄVLEBORGS LÄN</t>
        </is>
      </c>
      <c r="E83" t="inlineStr">
        <is>
          <t>GÄVLE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16459-2022</t>
        </is>
      </c>
      <c r="B84" s="1" t="n">
        <v>44671.58972222222</v>
      </c>
      <c r="C84" s="1" t="n">
        <v>46182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16469-2022</t>
        </is>
      </c>
      <c r="B85" s="1" t="n">
        <v>44671.61422453704</v>
      </c>
      <c r="C85" s="1" t="n">
        <v>46182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50389-2021</t>
        </is>
      </c>
      <c r="B86" s="1" t="n">
        <v>44459.46950231482</v>
      </c>
      <c r="C86" s="1" t="n">
        <v>46182</v>
      </c>
      <c r="D86" t="inlineStr">
        <is>
          <t>GÄVLEBORGS LÄN</t>
        </is>
      </c>
      <c r="E86" t="inlineStr">
        <is>
          <t>GÄVLE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44654-2021</t>
        </is>
      </c>
      <c r="B87" s="1" t="n">
        <v>44437</v>
      </c>
      <c r="C87" s="1" t="n">
        <v>46182</v>
      </c>
      <c r="D87" t="inlineStr">
        <is>
          <t>GÄVLEBORGS LÄN</t>
        </is>
      </c>
      <c r="E87" t="inlineStr">
        <is>
          <t>GÄVLE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6025-2022</t>
        </is>
      </c>
      <c r="B88" s="1" t="n">
        <v>44599</v>
      </c>
      <c r="C88" s="1" t="n">
        <v>46182</v>
      </c>
      <c r="D88" t="inlineStr">
        <is>
          <t>GÄVLEBORGS LÄN</t>
        </is>
      </c>
      <c r="E88" t="inlineStr">
        <is>
          <t>GÄVLE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26336-2022</t>
        </is>
      </c>
      <c r="B89" s="1" t="n">
        <v>44735.61905092592</v>
      </c>
      <c r="C89" s="1" t="n">
        <v>46182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15101-2022</t>
        </is>
      </c>
      <c r="B90" s="1" t="n">
        <v>44658</v>
      </c>
      <c r="C90" s="1" t="n">
        <v>46182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31773-2022</t>
        </is>
      </c>
      <c r="B91" s="1" t="n">
        <v>44776</v>
      </c>
      <c r="C91" s="1" t="n">
        <v>46182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1031-2022</t>
        </is>
      </c>
      <c r="B92" s="1" t="n">
        <v>44571</v>
      </c>
      <c r="C92" s="1" t="n">
        <v>46182</v>
      </c>
      <c r="D92" t="inlineStr">
        <is>
          <t>GÄVLEBORGS LÄN</t>
        </is>
      </c>
      <c r="E92" t="inlineStr">
        <is>
          <t>GÄVLE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33280-2022</t>
        </is>
      </c>
      <c r="B93" s="1" t="n">
        <v>44788.34717592593</v>
      </c>
      <c r="C93" s="1" t="n">
        <v>46182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39374-2021</t>
        </is>
      </c>
      <c r="B94" s="1" t="n">
        <v>44414</v>
      </c>
      <c r="C94" s="1" t="n">
        <v>46182</v>
      </c>
      <c r="D94" t="inlineStr">
        <is>
          <t>GÄVLEBORGS LÄN</t>
        </is>
      </c>
      <c r="E94" t="inlineStr">
        <is>
          <t>GÄVLE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4349-2022</t>
        </is>
      </c>
      <c r="B95" s="1" t="n">
        <v>44589.32091435185</v>
      </c>
      <c r="C95" s="1" t="n">
        <v>46182</v>
      </c>
      <c r="D95" t="inlineStr">
        <is>
          <t>GÄVLEBORGS LÄN</t>
        </is>
      </c>
      <c r="E95" t="inlineStr">
        <is>
          <t>GÄVLE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18181-2022</t>
        </is>
      </c>
      <c r="B96" s="1" t="n">
        <v>44684.68034722222</v>
      </c>
      <c r="C96" s="1" t="n">
        <v>46182</v>
      </c>
      <c r="D96" t="inlineStr">
        <is>
          <t>GÄVLEBORGS LÄN</t>
        </is>
      </c>
      <c r="E96" t="inlineStr">
        <is>
          <t>GÄVLE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34706-2022</t>
        </is>
      </c>
      <c r="B97" s="1" t="n">
        <v>44795.57741898148</v>
      </c>
      <c r="C97" s="1" t="n">
        <v>46182</v>
      </c>
      <c r="D97" t="inlineStr">
        <is>
          <t>GÄVLEBORGS LÄN</t>
        </is>
      </c>
      <c r="E97" t="inlineStr">
        <is>
          <t>GÄVLE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59515-2021</t>
        </is>
      </c>
      <c r="B98" s="1" t="n">
        <v>44491</v>
      </c>
      <c r="C98" s="1" t="n">
        <v>46182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31423-2021</t>
        </is>
      </c>
      <c r="B99" s="1" t="n">
        <v>44369.35077546296</v>
      </c>
      <c r="C99" s="1" t="n">
        <v>46182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32018-2021</t>
        </is>
      </c>
      <c r="B100" s="1" t="n">
        <v>44370.63998842592</v>
      </c>
      <c r="C100" s="1" t="n">
        <v>46182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23587-2024</t>
        </is>
      </c>
      <c r="B101" s="1" t="n">
        <v>45454</v>
      </c>
      <c r="C101" s="1" t="n">
        <v>46182</v>
      </c>
      <c r="D101" t="inlineStr">
        <is>
          <t>GÄVLEBORGS LÄN</t>
        </is>
      </c>
      <c r="E101" t="inlineStr">
        <is>
          <t>GÄVLE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7743-2025</t>
        </is>
      </c>
      <c r="B102" s="1" t="n">
        <v>45706.47894675926</v>
      </c>
      <c r="C102" s="1" t="n">
        <v>46182</v>
      </c>
      <c r="D102" t="inlineStr">
        <is>
          <t>GÄVLEBORGS LÄN</t>
        </is>
      </c>
      <c r="E102" t="inlineStr">
        <is>
          <t>GÄVLE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55976-2022</t>
        </is>
      </c>
      <c r="B103" s="1" t="n">
        <v>44889.4528125</v>
      </c>
      <c r="C103" s="1" t="n">
        <v>46182</v>
      </c>
      <c r="D103" t="inlineStr">
        <is>
          <t>GÄVLEBORGS LÄN</t>
        </is>
      </c>
      <c r="E103" t="inlineStr">
        <is>
          <t>GÄVLE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45280-2022</t>
        </is>
      </c>
      <c r="B104" s="1" t="n">
        <v>44840</v>
      </c>
      <c r="C104" s="1" t="n">
        <v>46182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61352-2021</t>
        </is>
      </c>
      <c r="B105" s="1" t="n">
        <v>44498.84503472222</v>
      </c>
      <c r="C105" s="1" t="n">
        <v>46182</v>
      </c>
      <c r="D105" t="inlineStr">
        <is>
          <t>GÄVLEBORGS LÄN</t>
        </is>
      </c>
      <c r="E105" t="inlineStr">
        <is>
          <t>GÄVLE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51249-2021</t>
        </is>
      </c>
      <c r="B106" s="1" t="n">
        <v>44461</v>
      </c>
      <c r="C106" s="1" t="n">
        <v>46182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34871-2022</t>
        </is>
      </c>
      <c r="B107" s="1" t="n">
        <v>44796.46392361111</v>
      </c>
      <c r="C107" s="1" t="n">
        <v>46182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3472-2022</t>
        </is>
      </c>
      <c r="B108" s="1" t="n">
        <v>44585.59899305556</v>
      </c>
      <c r="C108" s="1" t="n">
        <v>46182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23400-2022</t>
        </is>
      </c>
      <c r="B109" s="1" t="n">
        <v>44720</v>
      </c>
      <c r="C109" s="1" t="n">
        <v>46182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33175-2022</t>
        </is>
      </c>
      <c r="B110" s="1" t="n">
        <v>44785.60788194444</v>
      </c>
      <c r="C110" s="1" t="n">
        <v>46182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2373-2025</t>
        </is>
      </c>
      <c r="B111" s="1" t="n">
        <v>45673.85991898148</v>
      </c>
      <c r="C111" s="1" t="n">
        <v>46182</v>
      </c>
      <c r="D111" t="inlineStr">
        <is>
          <t>GÄVLEBORGS LÄN</t>
        </is>
      </c>
      <c r="E111" t="inlineStr">
        <is>
          <t>GÄVLE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2374-2025</t>
        </is>
      </c>
      <c r="B112" s="1" t="n">
        <v>45673.87116898148</v>
      </c>
      <c r="C112" s="1" t="n">
        <v>46182</v>
      </c>
      <c r="D112" t="inlineStr">
        <is>
          <t>GÄVLEBORGS LÄN</t>
        </is>
      </c>
      <c r="E112" t="inlineStr">
        <is>
          <t>GÄVLE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14801-2023</t>
        </is>
      </c>
      <c r="B113" s="1" t="n">
        <v>45014.62342592593</v>
      </c>
      <c r="C113" s="1" t="n">
        <v>46182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33178-2022</t>
        </is>
      </c>
      <c r="B114" s="1" t="n">
        <v>44785.60922453704</v>
      </c>
      <c r="C114" s="1" t="n">
        <v>46182</v>
      </c>
      <c r="D114" t="inlineStr">
        <is>
          <t>GÄVLEBORGS LÄN</t>
        </is>
      </c>
      <c r="E114" t="inlineStr">
        <is>
          <t>GÄVLE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5408-2023</t>
        </is>
      </c>
      <c r="B115" s="1" t="n">
        <v>44959.71658564815</v>
      </c>
      <c r="C115" s="1" t="n">
        <v>46182</v>
      </c>
      <c r="D115" t="inlineStr">
        <is>
          <t>GÄVLEBORGS LÄN</t>
        </is>
      </c>
      <c r="E115" t="inlineStr">
        <is>
          <t>GÄVLE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6001-2022</t>
        </is>
      </c>
      <c r="B116" s="1" t="n">
        <v>44599</v>
      </c>
      <c r="C116" s="1" t="n">
        <v>46182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6367-2025</t>
        </is>
      </c>
      <c r="B117" s="1" t="n">
        <v>45699.3866087963</v>
      </c>
      <c r="C117" s="1" t="n">
        <v>46182</v>
      </c>
      <c r="D117" t="inlineStr">
        <is>
          <t>GÄVLEBORGS LÄN</t>
        </is>
      </c>
      <c r="E117" t="inlineStr">
        <is>
          <t>GÄVLE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45592-2022</t>
        </is>
      </c>
      <c r="B118" s="1" t="n">
        <v>44845.5477662037</v>
      </c>
      <c r="C118" s="1" t="n">
        <v>46182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5409-2023</t>
        </is>
      </c>
      <c r="B119" s="1" t="n">
        <v>44959</v>
      </c>
      <c r="C119" s="1" t="n">
        <v>46182</v>
      </c>
      <c r="D119" t="inlineStr">
        <is>
          <t>GÄVLEBORGS LÄN</t>
        </is>
      </c>
      <c r="E119" t="inlineStr">
        <is>
          <t>GÄVLE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5415-2023</t>
        </is>
      </c>
      <c r="B120" s="1" t="n">
        <v>44959</v>
      </c>
      <c r="C120" s="1" t="n">
        <v>46182</v>
      </c>
      <c r="D120" t="inlineStr">
        <is>
          <t>GÄVLEBORGS LÄN</t>
        </is>
      </c>
      <c r="E120" t="inlineStr">
        <is>
          <t>GÄVLE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61501-2024</t>
        </is>
      </c>
      <c r="B121" s="1" t="n">
        <v>45646.5587037037</v>
      </c>
      <c r="C121" s="1" t="n">
        <v>46182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47458-2022</t>
        </is>
      </c>
      <c r="B122" s="1" t="n">
        <v>44853</v>
      </c>
      <c r="C122" s="1" t="n">
        <v>46182</v>
      </c>
      <c r="D122" t="inlineStr">
        <is>
          <t>GÄVLEBORGS LÄN</t>
        </is>
      </c>
      <c r="E122" t="inlineStr">
        <is>
          <t>GÄVLE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53138-2024</t>
        </is>
      </c>
      <c r="B123" s="1" t="n">
        <v>45611.59840277778</v>
      </c>
      <c r="C123" s="1" t="n">
        <v>46182</v>
      </c>
      <c r="D123" t="inlineStr">
        <is>
          <t>GÄVLEBORGS LÄN</t>
        </is>
      </c>
      <c r="E123" t="inlineStr">
        <is>
          <t>GÄVLE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46182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44938-2022</t>
        </is>
      </c>
      <c r="B125" s="1" t="n">
        <v>44841</v>
      </c>
      <c r="C125" s="1" t="n">
        <v>46182</v>
      </c>
      <c r="D125" t="inlineStr">
        <is>
          <t>GÄVLEBORGS LÄN</t>
        </is>
      </c>
      <c r="E125" t="inlineStr">
        <is>
          <t>GÄVLE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46182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18017-2023</t>
        </is>
      </c>
      <c r="B127" s="1" t="n">
        <v>45040.57936342592</v>
      </c>
      <c r="C127" s="1" t="n">
        <v>46182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257-2025</t>
        </is>
      </c>
      <c r="B128" s="1" t="n">
        <v>45660</v>
      </c>
      <c r="C128" s="1" t="n">
        <v>46182</v>
      </c>
      <c r="D128" t="inlineStr">
        <is>
          <t>GÄVLEBORGS LÄN</t>
        </is>
      </c>
      <c r="E128" t="inlineStr">
        <is>
          <t>GÄVLE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5241-2024</t>
        </is>
      </c>
      <c r="B129" s="1" t="n">
        <v>45330.86684027778</v>
      </c>
      <c r="C129" s="1" t="n">
        <v>46182</v>
      </c>
      <c r="D129" t="inlineStr">
        <is>
          <t>GÄVLEBORGS LÄN</t>
        </is>
      </c>
      <c r="E129" t="inlineStr">
        <is>
          <t>GÄVLE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25938-2022</t>
        </is>
      </c>
      <c r="B130" s="1" t="n">
        <v>44734.39373842593</v>
      </c>
      <c r="C130" s="1" t="n">
        <v>46182</v>
      </c>
      <c r="D130" t="inlineStr">
        <is>
          <t>GÄVLEBORGS LÄN</t>
        </is>
      </c>
      <c r="E130" t="inlineStr">
        <is>
          <t>GÄVLE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12228-2022</t>
        </is>
      </c>
      <c r="B131" s="1" t="n">
        <v>44637.36871527778</v>
      </c>
      <c r="C131" s="1" t="n">
        <v>46182</v>
      </c>
      <c r="D131" t="inlineStr">
        <is>
          <t>GÄVLEBORGS LÄN</t>
        </is>
      </c>
      <c r="E131" t="inlineStr">
        <is>
          <t>GÄVLE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11410-2025</t>
        </is>
      </c>
      <c r="B132" s="1" t="n">
        <v>45726.59032407407</v>
      </c>
      <c r="C132" s="1" t="n">
        <v>46182</v>
      </c>
      <c r="D132" t="inlineStr">
        <is>
          <t>GÄVLEBORGS LÄN</t>
        </is>
      </c>
      <c r="E132" t="inlineStr">
        <is>
          <t>GÄVLE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14750-2022</t>
        </is>
      </c>
      <c r="B133" s="1" t="n">
        <v>44656</v>
      </c>
      <c r="C133" s="1" t="n">
        <v>46182</v>
      </c>
      <c r="D133" t="inlineStr">
        <is>
          <t>GÄVLEBORGS LÄN</t>
        </is>
      </c>
      <c r="E133" t="inlineStr">
        <is>
          <t>GÄVLE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1066-2025</t>
        </is>
      </c>
      <c r="B134" s="1" t="n">
        <v>45666.58805555556</v>
      </c>
      <c r="C134" s="1" t="n">
        <v>46182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50582-2023</t>
        </is>
      </c>
      <c r="B135" s="1" t="n">
        <v>45217.39167824074</v>
      </c>
      <c r="C135" s="1" t="n">
        <v>46182</v>
      </c>
      <c r="D135" t="inlineStr">
        <is>
          <t>GÄVLEBORGS LÄN</t>
        </is>
      </c>
      <c r="E135" t="inlineStr">
        <is>
          <t>GÄVLE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27666-2025</t>
        </is>
      </c>
      <c r="B136" s="1" t="n">
        <v>45813.61989583333</v>
      </c>
      <c r="C136" s="1" t="n">
        <v>46182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27611-2025</t>
        </is>
      </c>
      <c r="B137" s="1" t="n">
        <v>45813.53916666667</v>
      </c>
      <c r="C137" s="1" t="n">
        <v>46182</v>
      </c>
      <c r="D137" t="inlineStr">
        <is>
          <t>GÄVLEBORGS LÄN</t>
        </is>
      </c>
      <c r="E137" t="inlineStr">
        <is>
          <t>GÄVLE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38793-2024</t>
        </is>
      </c>
      <c r="B138" s="1" t="n">
        <v>45547.48995370371</v>
      </c>
      <c r="C138" s="1" t="n">
        <v>46182</v>
      </c>
      <c r="D138" t="inlineStr">
        <is>
          <t>GÄVLEBORGS LÄN</t>
        </is>
      </c>
      <c r="E138" t="inlineStr">
        <is>
          <t>GÄVLE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9235-2022</t>
        </is>
      </c>
      <c r="B139" s="1" t="n">
        <v>44616.3750462963</v>
      </c>
      <c r="C139" s="1" t="n">
        <v>46182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53082-2022</t>
        </is>
      </c>
      <c r="B140" s="1" t="n">
        <v>44876.38916666667</v>
      </c>
      <c r="C140" s="1" t="n">
        <v>46182</v>
      </c>
      <c r="D140" t="inlineStr">
        <is>
          <t>GÄVLEBORGS LÄN</t>
        </is>
      </c>
      <c r="E140" t="inlineStr">
        <is>
          <t>GÄVLE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61492-2024</t>
        </is>
      </c>
      <c r="B141" s="1" t="n">
        <v>45646.55134259259</v>
      </c>
      <c r="C141" s="1" t="n">
        <v>46182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35225-2024</t>
        </is>
      </c>
      <c r="B142" s="1" t="n">
        <v>45530.51480324074</v>
      </c>
      <c r="C142" s="1" t="n">
        <v>46182</v>
      </c>
      <c r="D142" t="inlineStr">
        <is>
          <t>GÄVLEBORGS LÄN</t>
        </is>
      </c>
      <c r="E142" t="inlineStr">
        <is>
          <t>GÄVLE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72734-2021</t>
        </is>
      </c>
      <c r="B143" s="1" t="n">
        <v>44546</v>
      </c>
      <c r="C143" s="1" t="n">
        <v>46182</v>
      </c>
      <c r="D143" t="inlineStr">
        <is>
          <t>GÄVLEBORGS LÄN</t>
        </is>
      </c>
      <c r="E143" t="inlineStr">
        <is>
          <t>GÄVLE</t>
        </is>
      </c>
      <c r="F143" t="inlineStr">
        <is>
          <t>Kommuner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7748-2025</t>
        </is>
      </c>
      <c r="B144" s="1" t="n">
        <v>45706</v>
      </c>
      <c r="C144" s="1" t="n">
        <v>46182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28009-2025</t>
        </is>
      </c>
      <c r="B145" s="1" t="n">
        <v>45817.60252314815</v>
      </c>
      <c r="C145" s="1" t="n">
        <v>46182</v>
      </c>
      <c r="D145" t="inlineStr">
        <is>
          <t>GÄVLEBORGS LÄN</t>
        </is>
      </c>
      <c r="E145" t="inlineStr">
        <is>
          <t>GÄVLE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12381-2023</t>
        </is>
      </c>
      <c r="B146" s="1" t="n">
        <v>44999.46983796296</v>
      </c>
      <c r="C146" s="1" t="n">
        <v>46182</v>
      </c>
      <c r="D146" t="inlineStr">
        <is>
          <t>GÄVLEBORGS LÄN</t>
        </is>
      </c>
      <c r="E146" t="inlineStr">
        <is>
          <t>GÄVLE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25532-2023</t>
        </is>
      </c>
      <c r="B147" s="1" t="n">
        <v>45089.5450462963</v>
      </c>
      <c r="C147" s="1" t="n">
        <v>46182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37534-2023</t>
        </is>
      </c>
      <c r="B148" s="1" t="n">
        <v>45158.91878472222</v>
      </c>
      <c r="C148" s="1" t="n">
        <v>46182</v>
      </c>
      <c r="D148" t="inlineStr">
        <is>
          <t>GÄVLEBORGS LÄN</t>
        </is>
      </c>
      <c r="E148" t="inlineStr">
        <is>
          <t>GÄVLE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37538-2023</t>
        </is>
      </c>
      <c r="B149" s="1" t="n">
        <v>45158.94141203703</v>
      </c>
      <c r="C149" s="1" t="n">
        <v>46182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53432-2021</t>
        </is>
      </c>
      <c r="B150" s="1" t="n">
        <v>44468.65246527778</v>
      </c>
      <c r="C150" s="1" t="n">
        <v>46182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61672-2023</t>
        </is>
      </c>
      <c r="B151" s="1" t="n">
        <v>45265.62027777778</v>
      </c>
      <c r="C151" s="1" t="n">
        <v>46182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28481-2025</t>
        </is>
      </c>
      <c r="B152" s="1" t="n">
        <v>45819.4528125</v>
      </c>
      <c r="C152" s="1" t="n">
        <v>46182</v>
      </c>
      <c r="D152" t="inlineStr">
        <is>
          <t>GÄVLEBORGS LÄN</t>
        </is>
      </c>
      <c r="E152" t="inlineStr">
        <is>
          <t>GÄVLE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38550-2025</t>
        </is>
      </c>
      <c r="B153" s="1" t="n">
        <v>45884.43910879629</v>
      </c>
      <c r="C153" s="1" t="n">
        <v>46182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38516-2025</t>
        </is>
      </c>
      <c r="B154" s="1" t="n">
        <v>45884.3945949074</v>
      </c>
      <c r="C154" s="1" t="n">
        <v>46182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58445-2021</t>
        </is>
      </c>
      <c r="B155" s="1" t="n">
        <v>44488.57009259259</v>
      </c>
      <c r="C155" s="1" t="n">
        <v>46182</v>
      </c>
      <c r="D155" t="inlineStr">
        <is>
          <t>GÄVLEBORGS LÄN</t>
        </is>
      </c>
      <c r="E155" t="inlineStr">
        <is>
          <t>GÄVLE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28624-2025</t>
        </is>
      </c>
      <c r="B156" s="1" t="n">
        <v>45819.61737268518</v>
      </c>
      <c r="C156" s="1" t="n">
        <v>46182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21795-2022</t>
        </is>
      </c>
      <c r="B157" s="1" t="n">
        <v>44708</v>
      </c>
      <c r="C157" s="1" t="n">
        <v>46182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66493-2021</t>
        </is>
      </c>
      <c r="B158" s="1" t="n">
        <v>44519.03226851852</v>
      </c>
      <c r="C158" s="1" t="n">
        <v>46182</v>
      </c>
      <c r="D158" t="inlineStr">
        <is>
          <t>GÄVLEBORGS LÄN</t>
        </is>
      </c>
      <c r="E158" t="inlineStr">
        <is>
          <t>GÄVLE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25812-2023</t>
        </is>
      </c>
      <c r="B159" s="1" t="n">
        <v>45090.52939814814</v>
      </c>
      <c r="C159" s="1" t="n">
        <v>46182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39878-2025</t>
        </is>
      </c>
      <c r="B160" s="1" t="n">
        <v>45891.61590277778</v>
      </c>
      <c r="C160" s="1" t="n">
        <v>46182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30301-2025</t>
        </is>
      </c>
      <c r="B161" s="1" t="n">
        <v>45827.47753472222</v>
      </c>
      <c r="C161" s="1" t="n">
        <v>46182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30302-2025</t>
        </is>
      </c>
      <c r="B162" s="1" t="n">
        <v>45827.47875</v>
      </c>
      <c r="C162" s="1" t="n">
        <v>46182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30202-2025</t>
        </is>
      </c>
      <c r="B163" s="1" t="n">
        <v>45827</v>
      </c>
      <c r="C163" s="1" t="n">
        <v>46182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14563-2025</t>
        </is>
      </c>
      <c r="B164" s="1" t="n">
        <v>45741</v>
      </c>
      <c r="C164" s="1" t="n">
        <v>46182</v>
      </c>
      <c r="D164" t="inlineStr">
        <is>
          <t>GÄVLEBORGS LÄN</t>
        </is>
      </c>
      <c r="E164" t="inlineStr">
        <is>
          <t>GÄVLE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15001-2023</t>
        </is>
      </c>
      <c r="B165" s="1" t="n">
        <v>45015</v>
      </c>
      <c r="C165" s="1" t="n">
        <v>46182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30300-2025</t>
        </is>
      </c>
      <c r="B166" s="1" t="n">
        <v>45827.47604166667</v>
      </c>
      <c r="C166" s="1" t="n">
        <v>46182</v>
      </c>
      <c r="D166" t="inlineStr">
        <is>
          <t>GÄVLEBORGS LÄN</t>
        </is>
      </c>
      <c r="E166" t="inlineStr">
        <is>
          <t>GÄVLE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30304-2025</t>
        </is>
      </c>
      <c r="B167" s="1" t="n">
        <v>45827.480625</v>
      </c>
      <c r="C167" s="1" t="n">
        <v>46182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40316-2025</t>
        </is>
      </c>
      <c r="B168" s="1" t="n">
        <v>45895.42797453704</v>
      </c>
      <c r="C168" s="1" t="n">
        <v>46182</v>
      </c>
      <c r="D168" t="inlineStr">
        <is>
          <t>GÄVLEBORGS LÄN</t>
        </is>
      </c>
      <c r="E168" t="inlineStr">
        <is>
          <t>GÄVLE</t>
        </is>
      </c>
      <c r="F168" t="inlineStr">
        <is>
          <t>Kyrkan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40297-2025</t>
        </is>
      </c>
      <c r="B169" s="1" t="n">
        <v>45895</v>
      </c>
      <c r="C169" s="1" t="n">
        <v>46182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701-2025</t>
        </is>
      </c>
      <c r="B170" s="1" t="n">
        <v>45665</v>
      </c>
      <c r="C170" s="1" t="n">
        <v>46182</v>
      </c>
      <c r="D170" t="inlineStr">
        <is>
          <t>GÄVLEBORGS LÄN</t>
        </is>
      </c>
      <c r="E170" t="inlineStr">
        <is>
          <t>GÄVLE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40549-2025</t>
        </is>
      </c>
      <c r="B171" s="1" t="n">
        <v>45896.4344212963</v>
      </c>
      <c r="C171" s="1" t="n">
        <v>46182</v>
      </c>
      <c r="D171" t="inlineStr">
        <is>
          <t>GÄVLEBORGS LÄN</t>
        </is>
      </c>
      <c r="E171" t="inlineStr">
        <is>
          <t>GÄVLE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38132-2025</t>
        </is>
      </c>
      <c r="B172" s="1" t="n">
        <v>45882</v>
      </c>
      <c r="C172" s="1" t="n">
        <v>46182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40882-2025</t>
        </is>
      </c>
      <c r="B173" s="1" t="n">
        <v>45897.5972337963</v>
      </c>
      <c r="C173" s="1" t="n">
        <v>46182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41213-2025</t>
        </is>
      </c>
      <c r="B174" s="1" t="n">
        <v>45898.58056712963</v>
      </c>
      <c r="C174" s="1" t="n">
        <v>46182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41302-2025</t>
        </is>
      </c>
      <c r="B175" s="1" t="n">
        <v>45898.69194444444</v>
      </c>
      <c r="C175" s="1" t="n">
        <v>46182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41046-2025</t>
        </is>
      </c>
      <c r="B176" s="1" t="n">
        <v>45898.39636574074</v>
      </c>
      <c r="C176" s="1" t="n">
        <v>46182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15939-2025</t>
        </is>
      </c>
      <c r="B177" s="1" t="n">
        <v>45749.48018518519</v>
      </c>
      <c r="C177" s="1" t="n">
        <v>46182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41083-2025</t>
        </is>
      </c>
      <c r="B178" s="1" t="n">
        <v>45898.43148148148</v>
      </c>
      <c r="C178" s="1" t="n">
        <v>46182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41093-2025</t>
        </is>
      </c>
      <c r="B179" s="1" t="n">
        <v>45898.44236111111</v>
      </c>
      <c r="C179" s="1" t="n">
        <v>46182</v>
      </c>
      <c r="D179" t="inlineStr">
        <is>
          <t>GÄVLEBORGS LÄN</t>
        </is>
      </c>
      <c r="E179" t="inlineStr">
        <is>
          <t>GÄVLE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40992-2025</t>
        </is>
      </c>
      <c r="B180" s="1" t="n">
        <v>45898.32689814815</v>
      </c>
      <c r="C180" s="1" t="n">
        <v>46182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40993-2025</t>
        </is>
      </c>
      <c r="B181" s="1" t="n">
        <v>45898.33373842593</v>
      </c>
      <c r="C181" s="1" t="n">
        <v>46182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1238-2023</t>
        </is>
      </c>
      <c r="B182" s="1" t="n">
        <v>44936</v>
      </c>
      <c r="C182" s="1" t="n">
        <v>46182</v>
      </c>
      <c r="D182" t="inlineStr">
        <is>
          <t>GÄVLEBORGS LÄN</t>
        </is>
      </c>
      <c r="E182" t="inlineStr">
        <is>
          <t>GÄVLE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41047-2025</t>
        </is>
      </c>
      <c r="B183" s="1" t="n">
        <v>45898.40085648148</v>
      </c>
      <c r="C183" s="1" t="n">
        <v>46182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30915-2025</t>
        </is>
      </c>
      <c r="B184" s="1" t="n">
        <v>45832.37814814815</v>
      </c>
      <c r="C184" s="1" t="n">
        <v>46182</v>
      </c>
      <c r="D184" t="inlineStr">
        <is>
          <t>GÄVLEBORGS LÄN</t>
        </is>
      </c>
      <c r="E184" t="inlineStr">
        <is>
          <t>GÄVLE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61056-2024</t>
        </is>
      </c>
      <c r="B185" s="1" t="n">
        <v>45645.48956018518</v>
      </c>
      <c r="C185" s="1" t="n">
        <v>46182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30104-2024</t>
        </is>
      </c>
      <c r="B186" s="1" t="n">
        <v>45485</v>
      </c>
      <c r="C186" s="1" t="n">
        <v>46182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2457-2024</t>
        </is>
      </c>
      <c r="B187" s="1" t="n">
        <v>45312.89391203703</v>
      </c>
      <c r="C187" s="1" t="n">
        <v>46182</v>
      </c>
      <c r="D187" t="inlineStr">
        <is>
          <t>GÄVLEBORGS LÄN</t>
        </is>
      </c>
      <c r="E187" t="inlineStr">
        <is>
          <t>GÄVLE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9426-2025</t>
        </is>
      </c>
      <c r="B188" s="1" t="n">
        <v>45715.40354166667</v>
      </c>
      <c r="C188" s="1" t="n">
        <v>46182</v>
      </c>
      <c r="D188" t="inlineStr">
        <is>
          <t>GÄVLEBORGS LÄN</t>
        </is>
      </c>
      <c r="E188" t="inlineStr">
        <is>
          <t>GÄVLE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31920-2025</t>
        </is>
      </c>
      <c r="B189" s="1" t="n">
        <v>45834.79965277778</v>
      </c>
      <c r="C189" s="1" t="n">
        <v>46182</v>
      </c>
      <c r="D189" t="inlineStr">
        <is>
          <t>GÄVLEBORGS LÄN</t>
        </is>
      </c>
      <c r="E189" t="inlineStr">
        <is>
          <t>GÄVLE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28905-2023</t>
        </is>
      </c>
      <c r="B190" s="1" t="n">
        <v>45104.50863425926</v>
      </c>
      <c r="C190" s="1" t="n">
        <v>46182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51071-2023</t>
        </is>
      </c>
      <c r="B191" s="1" t="n">
        <v>45218.67822916667</v>
      </c>
      <c r="C191" s="1" t="n">
        <v>46182</v>
      </c>
      <c r="D191" t="inlineStr">
        <is>
          <t>GÄVLEBORGS LÄN</t>
        </is>
      </c>
      <c r="E191" t="inlineStr">
        <is>
          <t>GÄVLE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49771-2022</t>
        </is>
      </c>
      <c r="B192" s="1" t="n">
        <v>44862.61767361111</v>
      </c>
      <c r="C192" s="1" t="n">
        <v>46182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41683-2025</t>
        </is>
      </c>
      <c r="B193" s="1" t="n">
        <v>45902.38427083333</v>
      </c>
      <c r="C193" s="1" t="n">
        <v>46182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26157-2022</t>
        </is>
      </c>
      <c r="B194" s="1" t="n">
        <v>44735</v>
      </c>
      <c r="C194" s="1" t="n">
        <v>46182</v>
      </c>
      <c r="D194" t="inlineStr">
        <is>
          <t>GÄVLEBORGS LÄN</t>
        </is>
      </c>
      <c r="E194" t="inlineStr">
        <is>
          <t>GÄVLE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17113-2024</t>
        </is>
      </c>
      <c r="B195" s="1" t="n">
        <v>45412</v>
      </c>
      <c r="C195" s="1" t="n">
        <v>46182</v>
      </c>
      <c r="D195" t="inlineStr">
        <is>
          <t>GÄVLEBORGS LÄN</t>
        </is>
      </c>
      <c r="E195" t="inlineStr">
        <is>
          <t>GÄVLE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42557-2025</t>
        </is>
      </c>
      <c r="B196" s="1" t="n">
        <v>45905.59543981482</v>
      </c>
      <c r="C196" s="1" t="n">
        <v>46182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49401-2024</t>
        </is>
      </c>
      <c r="B197" s="1" t="n">
        <v>45595.67429398148</v>
      </c>
      <c r="C197" s="1" t="n">
        <v>46182</v>
      </c>
      <c r="D197" t="inlineStr">
        <is>
          <t>GÄVLEBORGS LÄN</t>
        </is>
      </c>
      <c r="E197" t="inlineStr">
        <is>
          <t>GÄVLE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46539-2021</t>
        </is>
      </c>
      <c r="B198" s="1" t="n">
        <v>44445.46751157408</v>
      </c>
      <c r="C198" s="1" t="n">
        <v>46182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2400-2023</t>
        </is>
      </c>
      <c r="B199" s="1" t="n">
        <v>44942</v>
      </c>
      <c r="C199" s="1" t="n">
        <v>46182</v>
      </c>
      <c r="D199" t="inlineStr">
        <is>
          <t>GÄVLEBORGS LÄN</t>
        </is>
      </c>
      <c r="E199" t="inlineStr">
        <is>
          <t>GÄVLE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32022-2025</t>
        </is>
      </c>
      <c r="B200" s="1" t="n">
        <v>45835.40670138889</v>
      </c>
      <c r="C200" s="1" t="n">
        <v>46182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26933-2025</t>
        </is>
      </c>
      <c r="B201" s="1" t="n">
        <v>45811.40111111111</v>
      </c>
      <c r="C201" s="1" t="n">
        <v>46182</v>
      </c>
      <c r="D201" t="inlineStr">
        <is>
          <t>GÄVLEBORGS LÄN</t>
        </is>
      </c>
      <c r="E201" t="inlineStr">
        <is>
          <t>GÄVLE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43085-2025</t>
        </is>
      </c>
      <c r="B202" s="1" t="n">
        <v>45909.61652777778</v>
      </c>
      <c r="C202" s="1" t="n">
        <v>46182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43089-2025</t>
        </is>
      </c>
      <c r="B203" s="1" t="n">
        <v>45909.62445601852</v>
      </c>
      <c r="C203" s="1" t="n">
        <v>46182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43097-2025</t>
        </is>
      </c>
      <c r="B204" s="1" t="n">
        <v>45909.62787037037</v>
      </c>
      <c r="C204" s="1" t="n">
        <v>46182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64871-2023</t>
        </is>
      </c>
      <c r="B205" s="1" t="n">
        <v>45282</v>
      </c>
      <c r="C205" s="1" t="n">
        <v>46182</v>
      </c>
      <c r="D205" t="inlineStr">
        <is>
          <t>GÄVLEBORGS LÄN</t>
        </is>
      </c>
      <c r="E205" t="inlineStr">
        <is>
          <t>GÄVLE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64875-2023</t>
        </is>
      </c>
      <c r="B206" s="1" t="n">
        <v>45282</v>
      </c>
      <c r="C206" s="1" t="n">
        <v>46182</v>
      </c>
      <c r="D206" t="inlineStr">
        <is>
          <t>GÄVLEBORGS LÄN</t>
        </is>
      </c>
      <c r="E206" t="inlineStr">
        <is>
          <t>GÄVLE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64878-2023</t>
        </is>
      </c>
      <c r="B207" s="1" t="n">
        <v>45282</v>
      </c>
      <c r="C207" s="1" t="n">
        <v>46182</v>
      </c>
      <c r="D207" t="inlineStr">
        <is>
          <t>GÄVLEBORGS LÄN</t>
        </is>
      </c>
      <c r="E207" t="inlineStr">
        <is>
          <t>GÄVLE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43087-2025</t>
        </is>
      </c>
      <c r="B208" s="1" t="n">
        <v>45909.62013888889</v>
      </c>
      <c r="C208" s="1" t="n">
        <v>46182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43356-2025</t>
        </is>
      </c>
      <c r="B209" s="1" t="n">
        <v>45911.32895833333</v>
      </c>
      <c r="C209" s="1" t="n">
        <v>46182</v>
      </c>
      <c r="D209" t="inlineStr">
        <is>
          <t>GÄVLEBORGS LÄN</t>
        </is>
      </c>
      <c r="E209" t="inlineStr">
        <is>
          <t>GÄVLE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42907-2025</t>
        </is>
      </c>
      <c r="B210" s="1" t="n">
        <v>45908.68849537037</v>
      </c>
      <c r="C210" s="1" t="n">
        <v>46182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14891-2024</t>
        </is>
      </c>
      <c r="B211" s="1" t="n">
        <v>45398</v>
      </c>
      <c r="C211" s="1" t="n">
        <v>46182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19095-2022</t>
        </is>
      </c>
      <c r="B212" s="1" t="n">
        <v>44691</v>
      </c>
      <c r="C212" s="1" t="n">
        <v>46182</v>
      </c>
      <c r="D212" t="inlineStr">
        <is>
          <t>GÄVLEBORGS LÄN</t>
        </is>
      </c>
      <c r="E212" t="inlineStr">
        <is>
          <t>GÄVLE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21978-2025</t>
        </is>
      </c>
      <c r="B213" s="1" t="n">
        <v>45784.64991898148</v>
      </c>
      <c r="C213" s="1" t="n">
        <v>46182</v>
      </c>
      <c r="D213" t="inlineStr">
        <is>
          <t>GÄVLEBORGS LÄN</t>
        </is>
      </c>
      <c r="E213" t="inlineStr">
        <is>
          <t>GÄVLE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44060-2025</t>
        </is>
      </c>
      <c r="B214" s="1" t="n">
        <v>45915.53219907408</v>
      </c>
      <c r="C214" s="1" t="n">
        <v>46182</v>
      </c>
      <c r="D214" t="inlineStr">
        <is>
          <t>GÄVLEBORGS LÄN</t>
        </is>
      </c>
      <c r="E214" t="inlineStr">
        <is>
          <t>GÄVLE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34116-2025</t>
        </is>
      </c>
      <c r="B215" s="1" t="n">
        <v>45845.51070601852</v>
      </c>
      <c r="C215" s="1" t="n">
        <v>46182</v>
      </c>
      <c r="D215" t="inlineStr">
        <is>
          <t>GÄVLEBORGS LÄN</t>
        </is>
      </c>
      <c r="E215" t="inlineStr">
        <is>
          <t>GÄVLE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34113-2025</t>
        </is>
      </c>
      <c r="B216" s="1" t="n">
        <v>45845.50296296296</v>
      </c>
      <c r="C216" s="1" t="n">
        <v>46182</v>
      </c>
      <c r="D216" t="inlineStr">
        <is>
          <t>GÄVLEBORGS LÄN</t>
        </is>
      </c>
      <c r="E216" t="inlineStr">
        <is>
          <t>GÄVLE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4294-2024</t>
        </is>
      </c>
      <c r="B217" s="1" t="n">
        <v>45324</v>
      </c>
      <c r="C217" s="1" t="n">
        <v>46182</v>
      </c>
      <c r="D217" t="inlineStr">
        <is>
          <t>GÄVLEBORGS LÄN</t>
        </is>
      </c>
      <c r="E217" t="inlineStr">
        <is>
          <t>GÄVLE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43556-2023</t>
        </is>
      </c>
      <c r="B218" s="1" t="n">
        <v>45184.57194444445</v>
      </c>
      <c r="C218" s="1" t="n">
        <v>46182</v>
      </c>
      <c r="D218" t="inlineStr">
        <is>
          <t>GÄVLEBORGS LÄN</t>
        </is>
      </c>
      <c r="E218" t="inlineStr">
        <is>
          <t>GÄVLE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34725-2025</t>
        </is>
      </c>
      <c r="B219" s="1" t="n">
        <v>45848.56725694444</v>
      </c>
      <c r="C219" s="1" t="n">
        <v>46182</v>
      </c>
      <c r="D219" t="inlineStr">
        <is>
          <t>GÄVLEBORGS LÄN</t>
        </is>
      </c>
      <c r="E219" t="inlineStr">
        <is>
          <t>GÄVLE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42934-2023</t>
        </is>
      </c>
      <c r="B220" s="1" t="n">
        <v>45182.56731481481</v>
      </c>
      <c r="C220" s="1" t="n">
        <v>46182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36638-2022</t>
        </is>
      </c>
      <c r="B221" s="1" t="n">
        <v>44804.72409722222</v>
      </c>
      <c r="C221" s="1" t="n">
        <v>46182</v>
      </c>
      <c r="D221" t="inlineStr">
        <is>
          <t>GÄVLEBORGS LÄN</t>
        </is>
      </c>
      <c r="E221" t="inlineStr">
        <is>
          <t>GÄVLE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34722-2025</t>
        </is>
      </c>
      <c r="B222" s="1" t="n">
        <v>45848.53870370371</v>
      </c>
      <c r="C222" s="1" t="n">
        <v>46182</v>
      </c>
      <c r="D222" t="inlineStr">
        <is>
          <t>GÄVLEBORGS LÄN</t>
        </is>
      </c>
      <c r="E222" t="inlineStr">
        <is>
          <t>GÄVLE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45628-2022</t>
        </is>
      </c>
      <c r="B223" s="1" t="n">
        <v>44845</v>
      </c>
      <c r="C223" s="1" t="n">
        <v>46182</v>
      </c>
      <c r="D223" t="inlineStr">
        <is>
          <t>GÄVLEBORGS LÄN</t>
        </is>
      </c>
      <c r="E223" t="inlineStr">
        <is>
          <t>GÄVLE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37253-2024</t>
        </is>
      </c>
      <c r="B224" s="1" t="n">
        <v>45540.36526620371</v>
      </c>
      <c r="C224" s="1" t="n">
        <v>46182</v>
      </c>
      <c r="D224" t="inlineStr">
        <is>
          <t>GÄVLEBORGS LÄN</t>
        </is>
      </c>
      <c r="E224" t="inlineStr">
        <is>
          <t>GÄVLE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31544-2023</t>
        </is>
      </c>
      <c r="B225" s="1" t="n">
        <v>45117</v>
      </c>
      <c r="C225" s="1" t="n">
        <v>46182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29923-2022</t>
        </is>
      </c>
      <c r="B226" s="1" t="n">
        <v>44756.56537037037</v>
      </c>
      <c r="C226" s="1" t="n">
        <v>46182</v>
      </c>
      <c r="D226" t="inlineStr">
        <is>
          <t>GÄVLEBORGS LÄN</t>
        </is>
      </c>
      <c r="E226" t="inlineStr">
        <is>
          <t>GÄVLE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29927-2022</t>
        </is>
      </c>
      <c r="B227" s="1" t="n">
        <v>44756.57232638889</v>
      </c>
      <c r="C227" s="1" t="n">
        <v>46182</v>
      </c>
      <c r="D227" t="inlineStr">
        <is>
          <t>GÄVLEBORGS LÄN</t>
        </is>
      </c>
      <c r="E227" t="inlineStr">
        <is>
          <t>GÄVLE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24618-2023</t>
        </is>
      </c>
      <c r="B228" s="1" t="n">
        <v>45084.35936342592</v>
      </c>
      <c r="C228" s="1" t="n">
        <v>46182</v>
      </c>
      <c r="D228" t="inlineStr">
        <is>
          <t>GÄVLEBORGS LÄN</t>
        </is>
      </c>
      <c r="E228" t="inlineStr">
        <is>
          <t>GÄVLE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35337-2025</t>
        </is>
      </c>
      <c r="B229" s="1" t="n">
        <v>45854.58831018519</v>
      </c>
      <c r="C229" s="1" t="n">
        <v>46182</v>
      </c>
      <c r="D229" t="inlineStr">
        <is>
          <t>GÄVLEBORGS LÄN</t>
        </is>
      </c>
      <c r="E229" t="inlineStr">
        <is>
          <t>GÄVLE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60792-2024</t>
        </is>
      </c>
      <c r="B230" s="1" t="n">
        <v>45644.59484953704</v>
      </c>
      <c r="C230" s="1" t="n">
        <v>46182</v>
      </c>
      <c r="D230" t="inlineStr">
        <is>
          <t>GÄVLEBORGS LÄN</t>
        </is>
      </c>
      <c r="E230" t="inlineStr">
        <is>
          <t>GÄVLE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60801-2024</t>
        </is>
      </c>
      <c r="B231" s="1" t="n">
        <v>45644.60451388889</v>
      </c>
      <c r="C231" s="1" t="n">
        <v>46182</v>
      </c>
      <c r="D231" t="inlineStr">
        <is>
          <t>GÄVLEBORGS LÄN</t>
        </is>
      </c>
      <c r="E231" t="inlineStr">
        <is>
          <t>GÄVLE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35650-2025</t>
        </is>
      </c>
      <c r="B232" s="1" t="n">
        <v>45859.51940972222</v>
      </c>
      <c r="C232" s="1" t="n">
        <v>46182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33015-2023</t>
        </is>
      </c>
      <c r="B233" s="1" t="n">
        <v>45125.74876157408</v>
      </c>
      <c r="C233" s="1" t="n">
        <v>46182</v>
      </c>
      <c r="D233" t="inlineStr">
        <is>
          <t>GÄVLEBORGS LÄN</t>
        </is>
      </c>
      <c r="E233" t="inlineStr">
        <is>
          <t>GÄVLE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35878-2025</t>
        </is>
      </c>
      <c r="B234" s="1" t="n">
        <v>45862.37017361111</v>
      </c>
      <c r="C234" s="1" t="n">
        <v>46182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35938-2025</t>
        </is>
      </c>
      <c r="B235" s="1" t="n">
        <v>45862.64209490741</v>
      </c>
      <c r="C235" s="1" t="n">
        <v>46182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35919-2025</t>
        </is>
      </c>
      <c r="B236" s="1" t="n">
        <v>45862.56378472222</v>
      </c>
      <c r="C236" s="1" t="n">
        <v>46182</v>
      </c>
      <c r="D236" t="inlineStr">
        <is>
          <t>GÄVLEBORGS LÄN</t>
        </is>
      </c>
      <c r="E236" t="inlineStr">
        <is>
          <t>GÄVLE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22577-2022</t>
        </is>
      </c>
      <c r="B237" s="1" t="n">
        <v>44713</v>
      </c>
      <c r="C237" s="1" t="n">
        <v>46182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57168-2023</t>
        </is>
      </c>
      <c r="B238" s="1" t="n">
        <v>45245.44936342593</v>
      </c>
      <c r="C238" s="1" t="n">
        <v>46182</v>
      </c>
      <c r="D238" t="inlineStr">
        <is>
          <t>GÄVLEBORGS LÄN</t>
        </is>
      </c>
      <c r="E238" t="inlineStr">
        <is>
          <t>GÄVLE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36106-2025</t>
        </is>
      </c>
      <c r="B239" s="1" t="n">
        <v>45866.55763888889</v>
      </c>
      <c r="C239" s="1" t="n">
        <v>46182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36255-2025</t>
        </is>
      </c>
      <c r="B240" s="1" t="n">
        <v>45867.58324074074</v>
      </c>
      <c r="C240" s="1" t="n">
        <v>46182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36116-2025</t>
        </is>
      </c>
      <c r="B241" s="1" t="n">
        <v>45866.58483796296</v>
      </c>
      <c r="C241" s="1" t="n">
        <v>46182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39022-2025</t>
        </is>
      </c>
      <c r="B242" s="1" t="n">
        <v>45888.37780092593</v>
      </c>
      <c r="C242" s="1" t="n">
        <v>46182</v>
      </c>
      <c r="D242" t="inlineStr">
        <is>
          <t>GÄVLEBORGS LÄN</t>
        </is>
      </c>
      <c r="E242" t="inlineStr">
        <is>
          <t>GÄVLE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15207-2024</t>
        </is>
      </c>
      <c r="B243" s="1" t="n">
        <v>45400.44844907407</v>
      </c>
      <c r="C243" s="1" t="n">
        <v>46182</v>
      </c>
      <c r="D243" t="inlineStr">
        <is>
          <t>GÄVLEBORGS LÄN</t>
        </is>
      </c>
      <c r="E243" t="inlineStr">
        <is>
          <t>GÄVLE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71249-2021</t>
        </is>
      </c>
      <c r="B244" s="1" t="n">
        <v>44539</v>
      </c>
      <c r="C244" s="1" t="n">
        <v>46182</v>
      </c>
      <c r="D244" t="inlineStr">
        <is>
          <t>GÄVLEBORGS LÄN</t>
        </is>
      </c>
      <c r="E244" t="inlineStr">
        <is>
          <t>GÄVLE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36493-2025</t>
        </is>
      </c>
      <c r="B245" s="1" t="n">
        <v>45869.54342592593</v>
      </c>
      <c r="C245" s="1" t="n">
        <v>46182</v>
      </c>
      <c r="D245" t="inlineStr">
        <is>
          <t>GÄVLEBORGS LÄN</t>
        </is>
      </c>
      <c r="E245" t="inlineStr">
        <is>
          <t>GÄVLE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36516-2025</t>
        </is>
      </c>
      <c r="B246" s="1" t="n">
        <v>45869.58846064815</v>
      </c>
      <c r="C246" s="1" t="n">
        <v>46182</v>
      </c>
      <c r="D246" t="inlineStr">
        <is>
          <t>GÄVLEBORGS LÄN</t>
        </is>
      </c>
      <c r="E246" t="inlineStr">
        <is>
          <t>GÄVLE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32970-2021</t>
        </is>
      </c>
      <c r="B247" s="1" t="n">
        <v>44376</v>
      </c>
      <c r="C247" s="1" t="n">
        <v>46182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45850-2025</t>
        </is>
      </c>
      <c r="B248" s="1" t="n">
        <v>45923</v>
      </c>
      <c r="C248" s="1" t="n">
        <v>46182</v>
      </c>
      <c r="D248" t="inlineStr">
        <is>
          <t>GÄVLEBORGS LÄN</t>
        </is>
      </c>
      <c r="E248" t="inlineStr">
        <is>
          <t>GÄVLE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40530-2025</t>
        </is>
      </c>
      <c r="B249" s="1" t="n">
        <v>45896.38710648148</v>
      </c>
      <c r="C249" s="1" t="n">
        <v>46182</v>
      </c>
      <c r="D249" t="inlineStr">
        <is>
          <t>GÄVLEBORGS LÄN</t>
        </is>
      </c>
      <c r="E249" t="inlineStr">
        <is>
          <t>GÄVLE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29016-2023</t>
        </is>
      </c>
      <c r="B250" s="1" t="n">
        <v>45104.67638888889</v>
      </c>
      <c r="C250" s="1" t="n">
        <v>46182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36680-2025</t>
        </is>
      </c>
      <c r="B251" s="1" t="n">
        <v>45873.39840277778</v>
      </c>
      <c r="C251" s="1" t="n">
        <v>46182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60396-2022</t>
        </is>
      </c>
      <c r="B252" s="1" t="n">
        <v>44910</v>
      </c>
      <c r="C252" s="1" t="n">
        <v>46182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50871-2022</t>
        </is>
      </c>
      <c r="B253" s="1" t="n">
        <v>44867</v>
      </c>
      <c r="C253" s="1" t="n">
        <v>46182</v>
      </c>
      <c r="D253" t="inlineStr">
        <is>
          <t>GÄVLEBORGS LÄN</t>
        </is>
      </c>
      <c r="E253" t="inlineStr">
        <is>
          <t>GÄVLE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25276-2024</t>
        </is>
      </c>
      <c r="B254" s="1" t="n">
        <v>45462.63016203704</v>
      </c>
      <c r="C254" s="1" t="n">
        <v>46182</v>
      </c>
      <c r="D254" t="inlineStr">
        <is>
          <t>GÄVLEBORGS LÄN</t>
        </is>
      </c>
      <c r="E254" t="inlineStr">
        <is>
          <t>GÄVLE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19424-2022</t>
        </is>
      </c>
      <c r="B255" s="1" t="n">
        <v>44693</v>
      </c>
      <c r="C255" s="1" t="n">
        <v>46182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225-2025</t>
        </is>
      </c>
      <c r="B256" s="1" t="n">
        <v>45660.35574074074</v>
      </c>
      <c r="C256" s="1" t="n">
        <v>46182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232-2025</t>
        </is>
      </c>
      <c r="B257" s="1" t="n">
        <v>45660.37127314815</v>
      </c>
      <c r="C257" s="1" t="n">
        <v>46182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45995-2025</t>
        </is>
      </c>
      <c r="B258" s="1" t="n">
        <v>45924.39846064815</v>
      </c>
      <c r="C258" s="1" t="n">
        <v>46182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27182-2022</t>
        </is>
      </c>
      <c r="B259" s="1" t="n">
        <v>44741.57295138889</v>
      </c>
      <c r="C259" s="1" t="n">
        <v>46182</v>
      </c>
      <c r="D259" t="inlineStr">
        <is>
          <t>GÄVLEBORGS LÄN</t>
        </is>
      </c>
      <c r="E259" t="inlineStr">
        <is>
          <t>GÄVLE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37146-2025</t>
        </is>
      </c>
      <c r="B260" s="1" t="n">
        <v>45875.57041666667</v>
      </c>
      <c r="C260" s="1" t="n">
        <v>46182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46133-2025</t>
        </is>
      </c>
      <c r="B261" s="1" t="n">
        <v>45924.59583333333</v>
      </c>
      <c r="C261" s="1" t="n">
        <v>46182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58370-2024</t>
        </is>
      </c>
      <c r="B262" s="1" t="n">
        <v>45632</v>
      </c>
      <c r="C262" s="1" t="n">
        <v>46182</v>
      </c>
      <c r="D262" t="inlineStr">
        <is>
          <t>GÄVLEBORGS LÄN</t>
        </is>
      </c>
      <c r="E262" t="inlineStr">
        <is>
          <t>GÄVLE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38558-2023</t>
        </is>
      </c>
      <c r="B263" s="1" t="n">
        <v>45162.60410879629</v>
      </c>
      <c r="C263" s="1" t="n">
        <v>46182</v>
      </c>
      <c r="D263" t="inlineStr">
        <is>
          <t>GÄVLEBORGS LÄN</t>
        </is>
      </c>
      <c r="E263" t="inlineStr">
        <is>
          <t>GÄVLE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10001-2025</t>
        </is>
      </c>
      <c r="B264" s="1" t="n">
        <v>45719.44918981481</v>
      </c>
      <c r="C264" s="1" t="n">
        <v>46182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46007-2025</t>
        </is>
      </c>
      <c r="B265" s="1" t="n">
        <v>45924.40840277778</v>
      </c>
      <c r="C265" s="1" t="n">
        <v>46182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46011-2025</t>
        </is>
      </c>
      <c r="B266" s="1" t="n">
        <v>45924.41563657407</v>
      </c>
      <c r="C266" s="1" t="n">
        <v>46182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46783-2025</t>
        </is>
      </c>
      <c r="B267" s="1" t="n">
        <v>45926.64233796296</v>
      </c>
      <c r="C267" s="1" t="n">
        <v>46182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38240-2024</t>
        </is>
      </c>
      <c r="B268" s="1" t="n">
        <v>45545</v>
      </c>
      <c r="C268" s="1" t="n">
        <v>46182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8031-2024</t>
        </is>
      </c>
      <c r="B269" s="1" t="n">
        <v>45350.95267361111</v>
      </c>
      <c r="C269" s="1" t="n">
        <v>46182</v>
      </c>
      <c r="D269" t="inlineStr">
        <is>
          <t>GÄVLEBORGS LÄN</t>
        </is>
      </c>
      <c r="E269" t="inlineStr">
        <is>
          <t>GÄVLE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61351-2021</t>
        </is>
      </c>
      <c r="B270" s="1" t="n">
        <v>44498.8419212963</v>
      </c>
      <c r="C270" s="1" t="n">
        <v>46182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37258-2024</t>
        </is>
      </c>
      <c r="B271" s="1" t="n">
        <v>45540.36945601852</v>
      </c>
      <c r="C271" s="1" t="n">
        <v>46182</v>
      </c>
      <c r="D271" t="inlineStr">
        <is>
          <t>GÄVLEBORGS LÄN</t>
        </is>
      </c>
      <c r="E271" t="inlineStr">
        <is>
          <t>GÄVLE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25768-2022</t>
        </is>
      </c>
      <c r="B272" s="1" t="n">
        <v>44733.45824074074</v>
      </c>
      <c r="C272" s="1" t="n">
        <v>46182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46724-2025</t>
        </is>
      </c>
      <c r="B273" s="1" t="n">
        <v>45926.58541666667</v>
      </c>
      <c r="C273" s="1" t="n">
        <v>46182</v>
      </c>
      <c r="D273" t="inlineStr">
        <is>
          <t>GÄVLEBORGS LÄN</t>
        </is>
      </c>
      <c r="E273" t="inlineStr">
        <is>
          <t>GÄVLE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37892-2025</t>
        </is>
      </c>
      <c r="B274" s="1" t="n">
        <v>45881</v>
      </c>
      <c r="C274" s="1" t="n">
        <v>46182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61300-2024</t>
        </is>
      </c>
      <c r="B275" s="1" t="n">
        <v>45645.90335648148</v>
      </c>
      <c r="C275" s="1" t="n">
        <v>46182</v>
      </c>
      <c r="D275" t="inlineStr">
        <is>
          <t>GÄVLEBORGS LÄN</t>
        </is>
      </c>
      <c r="E275" t="inlineStr">
        <is>
          <t>GÄVLE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53281-2024</t>
        </is>
      </c>
      <c r="B276" s="1" t="n">
        <v>45614.37862268519</v>
      </c>
      <c r="C276" s="1" t="n">
        <v>46182</v>
      </c>
      <c r="D276" t="inlineStr">
        <is>
          <t>GÄVLEBORGS LÄN</t>
        </is>
      </c>
      <c r="E276" t="inlineStr">
        <is>
          <t>GÄVLE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14093-2025</t>
        </is>
      </c>
      <c r="B277" s="1" t="n">
        <v>45740.44788194444</v>
      </c>
      <c r="C277" s="1" t="n">
        <v>46182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46552-2025</t>
        </is>
      </c>
      <c r="B278" s="1" t="n">
        <v>45926.34630787037</v>
      </c>
      <c r="C278" s="1" t="n">
        <v>46182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61880-2024</t>
        </is>
      </c>
      <c r="B279" s="1" t="n">
        <v>45652.44746527778</v>
      </c>
      <c r="C279" s="1" t="n">
        <v>46182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60879-2023</t>
        </is>
      </c>
      <c r="B280" s="1" t="n">
        <v>45261</v>
      </c>
      <c r="C280" s="1" t="n">
        <v>46182</v>
      </c>
      <c r="D280" t="inlineStr">
        <is>
          <t>GÄVLEBORGS LÄN</t>
        </is>
      </c>
      <c r="E280" t="inlineStr">
        <is>
          <t>GÄVLE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27787-2024</t>
        </is>
      </c>
      <c r="B281" s="1" t="n">
        <v>45475.54822916666</v>
      </c>
      <c r="C281" s="1" t="n">
        <v>46182</v>
      </c>
      <c r="D281" t="inlineStr">
        <is>
          <t>GÄVLEBORGS LÄN</t>
        </is>
      </c>
      <c r="E281" t="inlineStr">
        <is>
          <t>GÄVLE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46790-2025</t>
        </is>
      </c>
      <c r="B282" s="1" t="n">
        <v>45926.65032407407</v>
      </c>
      <c r="C282" s="1" t="n">
        <v>46182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40498-2022</t>
        </is>
      </c>
      <c r="B283" s="1" t="n">
        <v>44823.600625</v>
      </c>
      <c r="C283" s="1" t="n">
        <v>46182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38627-2025</t>
        </is>
      </c>
      <c r="B284" s="1" t="n">
        <v>45884.55796296296</v>
      </c>
      <c r="C284" s="1" t="n">
        <v>46182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47602-2025</t>
        </is>
      </c>
      <c r="B285" s="1" t="n">
        <v>45931.46113425926</v>
      </c>
      <c r="C285" s="1" t="n">
        <v>46182</v>
      </c>
      <c r="D285" t="inlineStr">
        <is>
          <t>GÄVLEBORGS LÄN</t>
        </is>
      </c>
      <c r="E285" t="inlineStr">
        <is>
          <t>GÄVLE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10577-2023</t>
        </is>
      </c>
      <c r="B286" s="1" t="n">
        <v>44988</v>
      </c>
      <c r="C286" s="1" t="n">
        <v>46182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47612-2025</t>
        </is>
      </c>
      <c r="B287" s="1" t="n">
        <v>45931.47070601852</v>
      </c>
      <c r="C287" s="1" t="n">
        <v>46182</v>
      </c>
      <c r="D287" t="inlineStr">
        <is>
          <t>GÄVLEBORGS LÄN</t>
        </is>
      </c>
      <c r="E287" t="inlineStr">
        <is>
          <t>GÄVLE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15312-2023</t>
        </is>
      </c>
      <c r="B288" s="1" t="n">
        <v>45019.47398148148</v>
      </c>
      <c r="C288" s="1" t="n">
        <v>46182</v>
      </c>
      <c r="D288" t="inlineStr">
        <is>
          <t>GÄVLEBORGS LÄN</t>
        </is>
      </c>
      <c r="E288" t="inlineStr">
        <is>
          <t>GÄVLE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47171-2025</t>
        </is>
      </c>
      <c r="B289" s="1" t="n">
        <v>45930.20606481482</v>
      </c>
      <c r="C289" s="1" t="n">
        <v>46182</v>
      </c>
      <c r="D289" t="inlineStr">
        <is>
          <t>GÄVLEBORGS LÄN</t>
        </is>
      </c>
      <c r="E289" t="inlineStr">
        <is>
          <t>GÄVLE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47172-2025</t>
        </is>
      </c>
      <c r="B290" s="1" t="n">
        <v>45930.20905092593</v>
      </c>
      <c r="C290" s="1" t="n">
        <v>46182</v>
      </c>
      <c r="D290" t="inlineStr">
        <is>
          <t>GÄVLEBORGS LÄN</t>
        </is>
      </c>
      <c r="E290" t="inlineStr">
        <is>
          <t>GÄVLE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16624-2023</t>
        </is>
      </c>
      <c r="B291" s="1" t="n">
        <v>45030.43475694444</v>
      </c>
      <c r="C291" s="1" t="n">
        <v>46182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48004-2025</t>
        </is>
      </c>
      <c r="B292" s="1" t="n">
        <v>45932.63305555555</v>
      </c>
      <c r="C292" s="1" t="n">
        <v>46182</v>
      </c>
      <c r="D292" t="inlineStr">
        <is>
          <t>GÄVLEBORGS LÄN</t>
        </is>
      </c>
      <c r="E292" t="inlineStr">
        <is>
          <t>GÄVLE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48117-2025</t>
        </is>
      </c>
      <c r="B293" s="1" t="n">
        <v>45933.35684027777</v>
      </c>
      <c r="C293" s="1" t="n">
        <v>46182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52387-2022</t>
        </is>
      </c>
      <c r="B294" s="1" t="n">
        <v>44874</v>
      </c>
      <c r="C294" s="1" t="n">
        <v>46182</v>
      </c>
      <c r="D294" t="inlineStr">
        <is>
          <t>GÄVLEBORGS LÄN</t>
        </is>
      </c>
      <c r="E294" t="inlineStr">
        <is>
          <t>GÄVLE</t>
        </is>
      </c>
      <c r="F294" t="inlineStr">
        <is>
          <t>Kommuner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31011-2023</t>
        </is>
      </c>
      <c r="B295" s="1" t="n">
        <v>45113</v>
      </c>
      <c r="C295" s="1" t="n">
        <v>46182</v>
      </c>
      <c r="D295" t="inlineStr">
        <is>
          <t>GÄVLEBORGS LÄN</t>
        </is>
      </c>
      <c r="E295" t="inlineStr">
        <is>
          <t>GÄVLE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48246-2025</t>
        </is>
      </c>
      <c r="B296" s="1" t="n">
        <v>45933.5480787037</v>
      </c>
      <c r="C296" s="1" t="n">
        <v>46182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48251-2025</t>
        </is>
      </c>
      <c r="B297" s="1" t="n">
        <v>45933.55273148148</v>
      </c>
      <c r="C297" s="1" t="n">
        <v>46182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35450-2025</t>
        </is>
      </c>
      <c r="B298" s="1" t="n">
        <v>45855.56597222222</v>
      </c>
      <c r="C298" s="1" t="n">
        <v>46182</v>
      </c>
      <c r="D298" t="inlineStr">
        <is>
          <t>GÄVLEBORGS LÄN</t>
        </is>
      </c>
      <c r="E298" t="inlineStr">
        <is>
          <t>GÄVLE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63801-2025</t>
        </is>
      </c>
      <c r="B299" s="1" t="n">
        <v>46019.84400462963</v>
      </c>
      <c r="C299" s="1" t="n">
        <v>46182</v>
      </c>
      <c r="D299" t="inlineStr">
        <is>
          <t>GÄVLEBORGS LÄN</t>
        </is>
      </c>
      <c r="E299" t="inlineStr">
        <is>
          <t>GÄVLE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54953-2025</t>
        </is>
      </c>
      <c r="B300" s="1" t="n">
        <v>45967.45105324074</v>
      </c>
      <c r="C300" s="1" t="n">
        <v>46182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47942-2025</t>
        </is>
      </c>
      <c r="B301" s="1" t="n">
        <v>45932.5684375</v>
      </c>
      <c r="C301" s="1" t="n">
        <v>46182</v>
      </c>
      <c r="D301" t="inlineStr">
        <is>
          <t>GÄVLEBORGS LÄN</t>
        </is>
      </c>
      <c r="E301" t="inlineStr">
        <is>
          <t>GÄVLE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47981-2025</t>
        </is>
      </c>
      <c r="B302" s="1" t="n">
        <v>45932.61349537037</v>
      </c>
      <c r="C302" s="1" t="n">
        <v>46182</v>
      </c>
      <c r="D302" t="inlineStr">
        <is>
          <t>GÄVLEBORGS LÄN</t>
        </is>
      </c>
      <c r="E302" t="inlineStr">
        <is>
          <t>GÄVLE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48002-2025</t>
        </is>
      </c>
      <c r="B303" s="1" t="n">
        <v>45932.63021990741</v>
      </c>
      <c r="C303" s="1" t="n">
        <v>46182</v>
      </c>
      <c r="D303" t="inlineStr">
        <is>
          <t>GÄVLEBORGS LÄN</t>
        </is>
      </c>
      <c r="E303" t="inlineStr">
        <is>
          <t>GÄVLE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47994-2025</t>
        </is>
      </c>
      <c r="B304" s="1" t="n">
        <v>45932.62642361111</v>
      </c>
      <c r="C304" s="1" t="n">
        <v>46182</v>
      </c>
      <c r="D304" t="inlineStr">
        <is>
          <t>GÄVLEBORGS LÄN</t>
        </is>
      </c>
      <c r="E304" t="inlineStr">
        <is>
          <t>GÄVLE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22466-2023</t>
        </is>
      </c>
      <c r="B305" s="1" t="n">
        <v>45070</v>
      </c>
      <c r="C305" s="1" t="n">
        <v>46182</v>
      </c>
      <c r="D305" t="inlineStr">
        <is>
          <t>GÄVLEBORGS LÄN</t>
        </is>
      </c>
      <c r="E305" t="inlineStr">
        <is>
          <t>GÄVLE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63800-2025</t>
        </is>
      </c>
      <c r="B306" s="1" t="n">
        <v>46019.83925925926</v>
      </c>
      <c r="C306" s="1" t="n">
        <v>46182</v>
      </c>
      <c r="D306" t="inlineStr">
        <is>
          <t>GÄVLEBORGS LÄN</t>
        </is>
      </c>
      <c r="E306" t="inlineStr">
        <is>
          <t>GÄVLE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42788-2025</t>
        </is>
      </c>
      <c r="B307" s="1" t="n">
        <v>45908.51519675926</v>
      </c>
      <c r="C307" s="1" t="n">
        <v>46182</v>
      </c>
      <c r="D307" t="inlineStr">
        <is>
          <t>GÄVLEBORGS LÄN</t>
        </is>
      </c>
      <c r="E307" t="inlineStr">
        <is>
          <t>GÄVLE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48928-2025</t>
        </is>
      </c>
      <c r="B308" s="1" t="n">
        <v>45937.51259259259</v>
      </c>
      <c r="C308" s="1" t="n">
        <v>46182</v>
      </c>
      <c r="D308" t="inlineStr">
        <is>
          <t>GÄVLEBORGS LÄN</t>
        </is>
      </c>
      <c r="E308" t="inlineStr">
        <is>
          <t>GÄVLE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11429-2025</t>
        </is>
      </c>
      <c r="B309" s="1" t="n">
        <v>45726.60840277778</v>
      </c>
      <c r="C309" s="1" t="n">
        <v>46182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48864-2025</t>
        </is>
      </c>
      <c r="B310" s="1" t="n">
        <v>45937.44758101852</v>
      </c>
      <c r="C310" s="1" t="n">
        <v>46182</v>
      </c>
      <c r="D310" t="inlineStr">
        <is>
          <t>GÄVLEBORGS LÄN</t>
        </is>
      </c>
      <c r="E310" t="inlineStr">
        <is>
          <t>GÄVLE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4482-2022</t>
        </is>
      </c>
      <c r="B311" s="1" t="n">
        <v>44589</v>
      </c>
      <c r="C311" s="1" t="n">
        <v>46182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42692-2025</t>
        </is>
      </c>
      <c r="B312" s="1" t="n">
        <v>45908.35809027778</v>
      </c>
      <c r="C312" s="1" t="n">
        <v>46182</v>
      </c>
      <c r="D312" t="inlineStr">
        <is>
          <t>GÄVLEBORGS LÄN</t>
        </is>
      </c>
      <c r="E312" t="inlineStr">
        <is>
          <t>GÄVLE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47694-2025</t>
        </is>
      </c>
      <c r="B313" s="1" t="n">
        <v>45931.59844907407</v>
      </c>
      <c r="C313" s="1" t="n">
        <v>46182</v>
      </c>
      <c r="D313" t="inlineStr">
        <is>
          <t>GÄVLEBORGS LÄN</t>
        </is>
      </c>
      <c r="E313" t="inlineStr">
        <is>
          <t>GÄVLE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47916-2025</t>
        </is>
      </c>
      <c r="B314" s="1" t="n">
        <v>45932.5190162037</v>
      </c>
      <c r="C314" s="1" t="n">
        <v>46182</v>
      </c>
      <c r="D314" t="inlineStr">
        <is>
          <t>GÄVLEBORGS LÄN</t>
        </is>
      </c>
      <c r="E314" t="inlineStr">
        <is>
          <t>GÄVLE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64142-2025</t>
        </is>
      </c>
      <c r="B315" s="1" t="n">
        <v>46022</v>
      </c>
      <c r="C315" s="1" t="n">
        <v>46182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48249-2025</t>
        </is>
      </c>
      <c r="B316" s="1" t="n">
        <v>45933.55248842593</v>
      </c>
      <c r="C316" s="1" t="n">
        <v>46182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16023-2023</t>
        </is>
      </c>
      <c r="B317" s="1" t="n">
        <v>45026</v>
      </c>
      <c r="C317" s="1" t="n">
        <v>46182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25829-2024</t>
        </is>
      </c>
      <c r="B318" s="1" t="n">
        <v>45467.40538194445</v>
      </c>
      <c r="C318" s="1" t="n">
        <v>46182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48986-2025</t>
        </is>
      </c>
      <c r="B319" s="1" t="n">
        <v>45937.57569444444</v>
      </c>
      <c r="C319" s="1" t="n">
        <v>46182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49393-2025</t>
        </is>
      </c>
      <c r="B320" s="1" t="n">
        <v>45938.65038194445</v>
      </c>
      <c r="C320" s="1" t="n">
        <v>46182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7235-2025</t>
        </is>
      </c>
      <c r="B321" s="1" t="n">
        <v>45702.51921296296</v>
      </c>
      <c r="C321" s="1" t="n">
        <v>46182</v>
      </c>
      <c r="D321" t="inlineStr">
        <is>
          <t>GÄVLEBORGS LÄN</t>
        </is>
      </c>
      <c r="E321" t="inlineStr">
        <is>
          <t>GÄVLE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35445-2023</t>
        </is>
      </c>
      <c r="B322" s="1" t="n">
        <v>45146.6455787037</v>
      </c>
      <c r="C322" s="1" t="n">
        <v>46182</v>
      </c>
      <c r="D322" t="inlineStr">
        <is>
          <t>GÄVLEBORGS LÄN</t>
        </is>
      </c>
      <c r="E322" t="inlineStr">
        <is>
          <t>GÄVLE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49384-2025</t>
        </is>
      </c>
      <c r="B323" s="1" t="n">
        <v>45938.64211805556</v>
      </c>
      <c r="C323" s="1" t="n">
        <v>46182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49511-2025</t>
        </is>
      </c>
      <c r="B324" s="1" t="n">
        <v>45939.38144675926</v>
      </c>
      <c r="C324" s="1" t="n">
        <v>46182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44369-2025</t>
        </is>
      </c>
      <c r="B325" s="1" t="n">
        <v>45916.46002314815</v>
      </c>
      <c r="C325" s="1" t="n">
        <v>46182</v>
      </c>
      <c r="D325" t="inlineStr">
        <is>
          <t>GÄVLEBORGS LÄN</t>
        </is>
      </c>
      <c r="E325" t="inlineStr">
        <is>
          <t>GÄVLE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26129-2024</t>
        </is>
      </c>
      <c r="B326" s="1" t="n">
        <v>45468.47239583333</v>
      </c>
      <c r="C326" s="1" t="n">
        <v>46182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71215-2021</t>
        </is>
      </c>
      <c r="B327" s="1" t="n">
        <v>44539.56224537037</v>
      </c>
      <c r="C327" s="1" t="n">
        <v>46182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35206-2024</t>
        </is>
      </c>
      <c r="B328" s="1" t="n">
        <v>45530</v>
      </c>
      <c r="C328" s="1" t="n">
        <v>46182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11407-2025</t>
        </is>
      </c>
      <c r="B329" s="1" t="n">
        <v>45726.58489583333</v>
      </c>
      <c r="C329" s="1" t="n">
        <v>46182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49510-2025</t>
        </is>
      </c>
      <c r="B330" s="1" t="n">
        <v>45939.38085648148</v>
      </c>
      <c r="C330" s="1" t="n">
        <v>46182</v>
      </c>
      <c r="D330" t="inlineStr">
        <is>
          <t>GÄVLEBORGS LÄN</t>
        </is>
      </c>
      <c r="E330" t="inlineStr">
        <is>
          <t>GÄVLE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61879-2024</t>
        </is>
      </c>
      <c r="B331" s="1" t="n">
        <v>45652.43678240741</v>
      </c>
      <c r="C331" s="1" t="n">
        <v>46182</v>
      </c>
      <c r="D331" t="inlineStr">
        <is>
          <t>GÄVLEBORGS LÄN</t>
        </is>
      </c>
      <c r="E331" t="inlineStr">
        <is>
          <t>GÄVLE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872-2026</t>
        </is>
      </c>
      <c r="B332" s="1" t="n">
        <v>46030.43628472222</v>
      </c>
      <c r="C332" s="1" t="n">
        <v>46182</v>
      </c>
      <c r="D332" t="inlineStr">
        <is>
          <t>GÄVLEBORGS LÄN</t>
        </is>
      </c>
      <c r="E332" t="inlineStr">
        <is>
          <t>GÄVLE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19712-2022</t>
        </is>
      </c>
      <c r="B333" s="1" t="n">
        <v>44694</v>
      </c>
      <c r="C333" s="1" t="n">
        <v>46182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39509-2022</t>
        </is>
      </c>
      <c r="B334" s="1" t="n">
        <v>44818</v>
      </c>
      <c r="C334" s="1" t="n">
        <v>46182</v>
      </c>
      <c r="D334" t="inlineStr">
        <is>
          <t>GÄVLEBORGS LÄN</t>
        </is>
      </c>
      <c r="E334" t="inlineStr">
        <is>
          <t>GÄVLE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4290-2024</t>
        </is>
      </c>
      <c r="B335" s="1" t="n">
        <v>45324.60200231482</v>
      </c>
      <c r="C335" s="1" t="n">
        <v>46182</v>
      </c>
      <c r="D335" t="inlineStr">
        <is>
          <t>GÄVLEBORGS LÄN</t>
        </is>
      </c>
      <c r="E335" t="inlineStr">
        <is>
          <t>GÄVLE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1969-2025</t>
        </is>
      </c>
      <c r="B336" s="1" t="n">
        <v>45672.38815972222</v>
      </c>
      <c r="C336" s="1" t="n">
        <v>46182</v>
      </c>
      <c r="D336" t="inlineStr">
        <is>
          <t>GÄVLEBORGS LÄN</t>
        </is>
      </c>
      <c r="E336" t="inlineStr">
        <is>
          <t>GÄVLE</t>
        </is>
      </c>
      <c r="F336" t="inlineStr">
        <is>
          <t>Kyrkan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30662-2022</t>
        </is>
      </c>
      <c r="B337" s="1" t="n">
        <v>44763</v>
      </c>
      <c r="C337" s="1" t="n">
        <v>46182</v>
      </c>
      <c r="D337" t="inlineStr">
        <is>
          <t>GÄVLEBORGS LÄN</t>
        </is>
      </c>
      <c r="E337" t="inlineStr">
        <is>
          <t>GÄVLE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61878-2025</t>
        </is>
      </c>
      <c r="B338" s="1" t="n">
        <v>46003.4128587963</v>
      </c>
      <c r="C338" s="1" t="n">
        <v>46182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876-2026</t>
        </is>
      </c>
      <c r="B339" s="1" t="n">
        <v>46030.44226851852</v>
      </c>
      <c r="C339" s="1" t="n">
        <v>46182</v>
      </c>
      <c r="D339" t="inlineStr">
        <is>
          <t>GÄVLEBORGS LÄN</t>
        </is>
      </c>
      <c r="E339" t="inlineStr">
        <is>
          <t>GÄVLE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60885-2023</t>
        </is>
      </c>
      <c r="B340" s="1" t="n">
        <v>45261</v>
      </c>
      <c r="C340" s="1" t="n">
        <v>46182</v>
      </c>
      <c r="D340" t="inlineStr">
        <is>
          <t>GÄVLEBORGS LÄN</t>
        </is>
      </c>
      <c r="E340" t="inlineStr">
        <is>
          <t>GÄVLE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61004-2024</t>
        </is>
      </c>
      <c r="B341" s="1" t="n">
        <v>45645.44195601852</v>
      </c>
      <c r="C341" s="1" t="n">
        <v>46182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49934-2025</t>
        </is>
      </c>
      <c r="B342" s="1" t="n">
        <v>45940.65795138889</v>
      </c>
      <c r="C342" s="1" t="n">
        <v>46182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49842-2025</t>
        </is>
      </c>
      <c r="B343" s="1" t="n">
        <v>45940.4696412037</v>
      </c>
      <c r="C343" s="1" t="n">
        <v>46182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50177-2025</t>
        </is>
      </c>
      <c r="B344" s="1" t="n">
        <v>45943.60822916667</v>
      </c>
      <c r="C344" s="1" t="n">
        <v>46182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50049-2025</t>
        </is>
      </c>
      <c r="B345" s="1" t="n">
        <v>45943.41519675926</v>
      </c>
      <c r="C345" s="1" t="n">
        <v>46182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1606-2026</t>
        </is>
      </c>
      <c r="B346" s="1" t="n">
        <v>46034</v>
      </c>
      <c r="C346" s="1" t="n">
        <v>46182</v>
      </c>
      <c r="D346" t="inlineStr">
        <is>
          <t>GÄVLEBORGS LÄN</t>
        </is>
      </c>
      <c r="E346" t="inlineStr">
        <is>
          <t>GÄVLE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37352-2024</t>
        </is>
      </c>
      <c r="B347" s="1" t="n">
        <v>45540</v>
      </c>
      <c r="C347" s="1" t="n">
        <v>46182</v>
      </c>
      <c r="D347" t="inlineStr">
        <is>
          <t>GÄVLEBORGS LÄN</t>
        </is>
      </c>
      <c r="E347" t="inlineStr">
        <is>
          <t>GÄVLE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17605-2025</t>
        </is>
      </c>
      <c r="B348" s="1" t="n">
        <v>45757.73100694444</v>
      </c>
      <c r="C348" s="1" t="n">
        <v>46182</v>
      </c>
      <c r="D348" t="inlineStr">
        <is>
          <t>GÄVLEBORGS LÄN</t>
        </is>
      </c>
      <c r="E348" t="inlineStr">
        <is>
          <t>GÄVLE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17607-2025</t>
        </is>
      </c>
      <c r="B349" s="1" t="n">
        <v>45757.74027777778</v>
      </c>
      <c r="C349" s="1" t="n">
        <v>46182</v>
      </c>
      <c r="D349" t="inlineStr">
        <is>
          <t>GÄVLEBORGS LÄN</t>
        </is>
      </c>
      <c r="E349" t="inlineStr">
        <is>
          <t>GÄVLE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50345-2025</t>
        </is>
      </c>
      <c r="B350" s="1" t="n">
        <v>45944.54185185185</v>
      </c>
      <c r="C350" s="1" t="n">
        <v>46182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50356-2025</t>
        </is>
      </c>
      <c r="B351" s="1" t="n">
        <v>45944.55662037037</v>
      </c>
      <c r="C351" s="1" t="n">
        <v>46182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28005-2025</t>
        </is>
      </c>
      <c r="B352" s="1" t="n">
        <v>45817.59769675926</v>
      </c>
      <c r="C352" s="1" t="n">
        <v>46182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63036-2023</t>
        </is>
      </c>
      <c r="B353" s="1" t="n">
        <v>45272</v>
      </c>
      <c r="C353" s="1" t="n">
        <v>46182</v>
      </c>
      <c r="D353" t="inlineStr">
        <is>
          <t>GÄVLEBORGS LÄN</t>
        </is>
      </c>
      <c r="E353" t="inlineStr">
        <is>
          <t>GÄVLE</t>
        </is>
      </c>
      <c r="G353" t="n">
        <v>12.7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56487-2023</t>
        </is>
      </c>
      <c r="B354" s="1" t="n">
        <v>45243</v>
      </c>
      <c r="C354" s="1" t="n">
        <v>46182</v>
      </c>
      <c r="D354" t="inlineStr">
        <is>
          <t>GÄVLEBORGS LÄN</t>
        </is>
      </c>
      <c r="E354" t="inlineStr">
        <is>
          <t>GÄVLE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9307-2022</t>
        </is>
      </c>
      <c r="B355" s="1" t="n">
        <v>44616.49033564814</v>
      </c>
      <c r="C355" s="1" t="n">
        <v>46182</v>
      </c>
      <c r="D355" t="inlineStr">
        <is>
          <t>GÄVLEBORGS LÄN</t>
        </is>
      </c>
      <c r="E355" t="inlineStr">
        <is>
          <t>GÄVLE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13193-2025</t>
        </is>
      </c>
      <c r="B356" s="1" t="n">
        <v>45735.41233796296</v>
      </c>
      <c r="C356" s="1" t="n">
        <v>46182</v>
      </c>
      <c r="D356" t="inlineStr">
        <is>
          <t>GÄVLEBORGS LÄN</t>
        </is>
      </c>
      <c r="E356" t="inlineStr">
        <is>
          <t>GÄVLE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17062-2023</t>
        </is>
      </c>
      <c r="B357" s="1" t="n">
        <v>45034</v>
      </c>
      <c r="C357" s="1" t="n">
        <v>46182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3156-2026</t>
        </is>
      </c>
      <c r="B358" s="1" t="n">
        <v>46041.42920138889</v>
      </c>
      <c r="C358" s="1" t="n">
        <v>46182</v>
      </c>
      <c r="D358" t="inlineStr">
        <is>
          <t>GÄVLEBORGS LÄN</t>
        </is>
      </c>
      <c r="E358" t="inlineStr">
        <is>
          <t>GÄVLE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31866-2023</t>
        </is>
      </c>
      <c r="B359" s="1" t="n">
        <v>45106</v>
      </c>
      <c r="C359" s="1" t="n">
        <v>46182</v>
      </c>
      <c r="D359" t="inlineStr">
        <is>
          <t>GÄVLEBORGS LÄN</t>
        </is>
      </c>
      <c r="E359" t="inlineStr">
        <is>
          <t>GÄVLE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14807-2023</t>
        </is>
      </c>
      <c r="B360" s="1" t="n">
        <v>45014.63493055556</v>
      </c>
      <c r="C360" s="1" t="n">
        <v>46182</v>
      </c>
      <c r="D360" t="inlineStr">
        <is>
          <t>GÄVLEBORGS LÄN</t>
        </is>
      </c>
      <c r="E360" t="inlineStr">
        <is>
          <t>GÄVLE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25593-2024</t>
        </is>
      </c>
      <c r="B361" s="1" t="n">
        <v>45463.6169212963</v>
      </c>
      <c r="C361" s="1" t="n">
        <v>46182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3712-2023</t>
        </is>
      </c>
      <c r="B362" s="1" t="n">
        <v>44951.33599537037</v>
      </c>
      <c r="C362" s="1" t="n">
        <v>46182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51758-2025</t>
        </is>
      </c>
      <c r="B363" s="1" t="n">
        <v>45950</v>
      </c>
      <c r="C363" s="1" t="n">
        <v>46182</v>
      </c>
      <c r="D363" t="inlineStr">
        <is>
          <t>GÄVLEBORGS LÄN</t>
        </is>
      </c>
      <c r="E363" t="inlineStr">
        <is>
          <t>GÄVLE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33880-2022</t>
        </is>
      </c>
      <c r="B364" s="1" t="n">
        <v>44790.59284722222</v>
      </c>
      <c r="C364" s="1" t="n">
        <v>46182</v>
      </c>
      <c r="D364" t="inlineStr">
        <is>
          <t>GÄVLEBORGS LÄN</t>
        </is>
      </c>
      <c r="E364" t="inlineStr">
        <is>
          <t>GÄVLE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48247-2025</t>
        </is>
      </c>
      <c r="B365" s="1" t="n">
        <v>45933.55215277777</v>
      </c>
      <c r="C365" s="1" t="n">
        <v>46182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18217-2024</t>
        </is>
      </c>
      <c r="B366" s="1" t="n">
        <v>45420</v>
      </c>
      <c r="C366" s="1" t="n">
        <v>46182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4308-2026</t>
        </is>
      </c>
      <c r="B367" s="1" t="n">
        <v>46045.43865740741</v>
      </c>
      <c r="C367" s="1" t="n">
        <v>46182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6370-2025</t>
        </is>
      </c>
      <c r="B368" s="1" t="n">
        <v>45699.39001157408</v>
      </c>
      <c r="C368" s="1" t="n">
        <v>46182</v>
      </c>
      <c r="D368" t="inlineStr">
        <is>
          <t>GÄVLEBORGS LÄN</t>
        </is>
      </c>
      <c r="E368" t="inlineStr">
        <is>
          <t>GÄVLE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51893-2025</t>
        </is>
      </c>
      <c r="B369" s="1" t="n">
        <v>45952.42771990741</v>
      </c>
      <c r="C369" s="1" t="n">
        <v>46182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52156-2025</t>
        </is>
      </c>
      <c r="B370" s="1" t="n">
        <v>45953.35465277778</v>
      </c>
      <c r="C370" s="1" t="n">
        <v>46182</v>
      </c>
      <c r="D370" t="inlineStr">
        <is>
          <t>GÄVLEBORGS LÄN</t>
        </is>
      </c>
      <c r="E370" t="inlineStr">
        <is>
          <t>GÄVLE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46800-2021</t>
        </is>
      </c>
      <c r="B371" s="1" t="n">
        <v>44446.30126157407</v>
      </c>
      <c r="C371" s="1" t="n">
        <v>46182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11691-2024</t>
        </is>
      </c>
      <c r="B372" s="1" t="n">
        <v>45373.59789351852</v>
      </c>
      <c r="C372" s="1" t="n">
        <v>46182</v>
      </c>
      <c r="D372" t="inlineStr">
        <is>
          <t>GÄVLEBORGS LÄN</t>
        </is>
      </c>
      <c r="E372" t="inlineStr">
        <is>
          <t>GÄVLE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62766-2022</t>
        </is>
      </c>
      <c r="B373" s="1" t="n">
        <v>44885</v>
      </c>
      <c r="C373" s="1" t="n">
        <v>46182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52970-2025</t>
        </is>
      </c>
      <c r="B374" s="1" t="n">
        <v>45957.67456018519</v>
      </c>
      <c r="C374" s="1" t="n">
        <v>46182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11643-2025</t>
        </is>
      </c>
      <c r="B375" s="1" t="n">
        <v>45727.47241898148</v>
      </c>
      <c r="C375" s="1" t="n">
        <v>46182</v>
      </c>
      <c r="D375" t="inlineStr">
        <is>
          <t>GÄVLEBORGS LÄN</t>
        </is>
      </c>
      <c r="E375" t="inlineStr">
        <is>
          <t>GÄVLE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989-2023</t>
        </is>
      </c>
      <c r="B376" s="1" t="n">
        <v>44935.38945601852</v>
      </c>
      <c r="C376" s="1" t="n">
        <v>46182</v>
      </c>
      <c r="D376" t="inlineStr">
        <is>
          <t>GÄVLEBORGS LÄN</t>
        </is>
      </c>
      <c r="E376" t="inlineStr">
        <is>
          <t>GÄVLE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4307-2026</t>
        </is>
      </c>
      <c r="B377" s="1" t="n">
        <v>46045.4365625</v>
      </c>
      <c r="C377" s="1" t="n">
        <v>46182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4463-2026</t>
        </is>
      </c>
      <c r="B378" s="1" t="n">
        <v>46045.65126157407</v>
      </c>
      <c r="C378" s="1" t="n">
        <v>46182</v>
      </c>
      <c r="D378" t="inlineStr">
        <is>
          <t>GÄVLEBORGS LÄN</t>
        </is>
      </c>
      <c r="E378" t="inlineStr">
        <is>
          <t>GÄVLE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64873-2023</t>
        </is>
      </c>
      <c r="B379" s="1" t="n">
        <v>45282</v>
      </c>
      <c r="C379" s="1" t="n">
        <v>46182</v>
      </c>
      <c r="D379" t="inlineStr">
        <is>
          <t>GÄVLEBORGS LÄN</t>
        </is>
      </c>
      <c r="E379" t="inlineStr">
        <is>
          <t>GÄVLE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4444-2026</t>
        </is>
      </c>
      <c r="B380" s="1" t="n">
        <v>46045</v>
      </c>
      <c r="C380" s="1" t="n">
        <v>46182</v>
      </c>
      <c r="D380" t="inlineStr">
        <is>
          <t>GÄVLEBORGS LÄN</t>
        </is>
      </c>
      <c r="E380" t="inlineStr">
        <is>
          <t>GÄVLE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52801-2025</t>
        </is>
      </c>
      <c r="B381" s="1" t="n">
        <v>45957.4416550926</v>
      </c>
      <c r="C381" s="1" t="n">
        <v>46182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52897-2025</t>
        </is>
      </c>
      <c r="B382" s="1" t="n">
        <v>45957.58747685186</v>
      </c>
      <c r="C382" s="1" t="n">
        <v>46182</v>
      </c>
      <c r="D382" t="inlineStr">
        <is>
          <t>GÄVLEBORGS LÄN</t>
        </is>
      </c>
      <c r="E382" t="inlineStr">
        <is>
          <t>GÄVLE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5191-2026</t>
        </is>
      </c>
      <c r="B383" s="1" t="n">
        <v>46049</v>
      </c>
      <c r="C383" s="1" t="n">
        <v>46182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63288-2025</t>
        </is>
      </c>
      <c r="B384" s="1" t="n">
        <v>46010.59050925926</v>
      </c>
      <c r="C384" s="1" t="n">
        <v>46182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29862-2023</t>
        </is>
      </c>
      <c r="B385" s="1" t="n">
        <v>45107.60888888889</v>
      </c>
      <c r="C385" s="1" t="n">
        <v>46182</v>
      </c>
      <c r="D385" t="inlineStr">
        <is>
          <t>GÄVLEBORGS LÄN</t>
        </is>
      </c>
      <c r="E385" t="inlineStr">
        <is>
          <t>GÄVLE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10352-2025</t>
        </is>
      </c>
      <c r="B386" s="1" t="n">
        <v>45720.51222222222</v>
      </c>
      <c r="C386" s="1" t="n">
        <v>46182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53541-2025</t>
        </is>
      </c>
      <c r="B387" s="1" t="n">
        <v>45960.37989583334</v>
      </c>
      <c r="C387" s="1" t="n">
        <v>46182</v>
      </c>
      <c r="D387" t="inlineStr">
        <is>
          <t>GÄVLEBORGS LÄN</t>
        </is>
      </c>
      <c r="E387" t="inlineStr">
        <is>
          <t>GÄVLE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54135-2025</t>
        </is>
      </c>
      <c r="B388" s="1" t="n">
        <v>45964.47016203704</v>
      </c>
      <c r="C388" s="1" t="n">
        <v>46182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10118-2025</t>
        </is>
      </c>
      <c r="B389" s="1" t="n">
        <v>45719</v>
      </c>
      <c r="C389" s="1" t="n">
        <v>46182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5722-2026</t>
        </is>
      </c>
      <c r="B390" s="1" t="n">
        <v>46051</v>
      </c>
      <c r="C390" s="1" t="n">
        <v>46182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54480-2025</t>
        </is>
      </c>
      <c r="B391" s="1" t="n">
        <v>45965.58563657408</v>
      </c>
      <c r="C391" s="1" t="n">
        <v>46182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5462-2023</t>
        </is>
      </c>
      <c r="B392" s="1" t="n">
        <v>44960.32700231481</v>
      </c>
      <c r="C392" s="1" t="n">
        <v>46182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5700-2026</t>
        </is>
      </c>
      <c r="B393" s="1" t="n">
        <v>46051</v>
      </c>
      <c r="C393" s="1" t="n">
        <v>46182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10095-2025</t>
        </is>
      </c>
      <c r="B394" s="1" t="n">
        <v>45719</v>
      </c>
      <c r="C394" s="1" t="n">
        <v>46182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24478-2023</t>
        </is>
      </c>
      <c r="B395" s="1" t="n">
        <v>45082</v>
      </c>
      <c r="C395" s="1" t="n">
        <v>46182</v>
      </c>
      <c r="D395" t="inlineStr">
        <is>
          <t>GÄVLEBORGS LÄN</t>
        </is>
      </c>
      <c r="E395" t="inlineStr">
        <is>
          <t>GÄVLE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24720-2023</t>
        </is>
      </c>
      <c r="B396" s="1" t="n">
        <v>45084</v>
      </c>
      <c r="C396" s="1" t="n">
        <v>46182</v>
      </c>
      <c r="D396" t="inlineStr">
        <is>
          <t>GÄVLEBORGS LÄN</t>
        </is>
      </c>
      <c r="E396" t="inlineStr">
        <is>
          <t>GÄVLE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54958-2025</t>
        </is>
      </c>
      <c r="B397" s="1" t="n">
        <v>45967.4753587963</v>
      </c>
      <c r="C397" s="1" t="n">
        <v>46182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54960-2025</t>
        </is>
      </c>
      <c r="B398" s="1" t="n">
        <v>45967.47635416667</v>
      </c>
      <c r="C398" s="1" t="n">
        <v>46182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54966-2025</t>
        </is>
      </c>
      <c r="B399" s="1" t="n">
        <v>45967.49037037037</v>
      </c>
      <c r="C399" s="1" t="n">
        <v>46182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6065-2026</t>
        </is>
      </c>
      <c r="B400" s="1" t="n">
        <v>46052.65056712963</v>
      </c>
      <c r="C400" s="1" t="n">
        <v>46182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54768-2025</t>
        </is>
      </c>
      <c r="B401" s="1" t="n">
        <v>45966.60678240741</v>
      </c>
      <c r="C401" s="1" t="n">
        <v>46182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6055-2026</t>
        </is>
      </c>
      <c r="B402" s="1" t="n">
        <v>46052.63857638889</v>
      </c>
      <c r="C402" s="1" t="n">
        <v>46182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54959-2025</t>
        </is>
      </c>
      <c r="B403" s="1" t="n">
        <v>45967.4759837963</v>
      </c>
      <c r="C403" s="1" t="n">
        <v>46182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17088-2023</t>
        </is>
      </c>
      <c r="B404" s="1" t="n">
        <v>45034.52115740741</v>
      </c>
      <c r="C404" s="1" t="n">
        <v>46182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6046-2026</t>
        </is>
      </c>
      <c r="B405" s="1" t="n">
        <v>46052.62577546296</v>
      </c>
      <c r="C405" s="1" t="n">
        <v>46182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54599-2025</t>
        </is>
      </c>
      <c r="B406" s="1" t="n">
        <v>45965.79302083333</v>
      </c>
      <c r="C406" s="1" t="n">
        <v>46182</v>
      </c>
      <c r="D406" t="inlineStr">
        <is>
          <t>GÄVLEBORGS LÄN</t>
        </is>
      </c>
      <c r="E406" t="inlineStr">
        <is>
          <t>GÄVLE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7792-2023</t>
        </is>
      </c>
      <c r="B407" s="1" t="n">
        <v>44973.42633101852</v>
      </c>
      <c r="C407" s="1" t="n">
        <v>46182</v>
      </c>
      <c r="D407" t="inlineStr">
        <is>
          <t>GÄVLEBORGS LÄN</t>
        </is>
      </c>
      <c r="E407" t="inlineStr">
        <is>
          <t>GÄVLE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6080-2026</t>
        </is>
      </c>
      <c r="B408" s="1" t="n">
        <v>46052.67444444444</v>
      </c>
      <c r="C408" s="1" t="n">
        <v>46182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8693-2024</t>
        </is>
      </c>
      <c r="B409" s="1" t="n">
        <v>45356.36994212963</v>
      </c>
      <c r="C409" s="1" t="n">
        <v>46182</v>
      </c>
      <c r="D409" t="inlineStr">
        <is>
          <t>GÄVLEBORGS LÄN</t>
        </is>
      </c>
      <c r="E409" t="inlineStr">
        <is>
          <t>GÄVLE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14735-2024</t>
        </is>
      </c>
      <c r="B410" s="1" t="n">
        <v>45397</v>
      </c>
      <c r="C410" s="1" t="n">
        <v>46182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6673-2026</t>
        </is>
      </c>
      <c r="B411" s="1" t="n">
        <v>46056.59990740741</v>
      </c>
      <c r="C411" s="1" t="n">
        <v>46182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6681-2026</t>
        </is>
      </c>
      <c r="B412" s="1" t="n">
        <v>46056</v>
      </c>
      <c r="C412" s="1" t="n">
        <v>46182</v>
      </c>
      <c r="D412" t="inlineStr">
        <is>
          <t>GÄVLEBORGS LÄN</t>
        </is>
      </c>
      <c r="E412" t="inlineStr">
        <is>
          <t>GÄVLE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55432-2025</t>
        </is>
      </c>
      <c r="B413" s="1" t="n">
        <v>45971.48042824074</v>
      </c>
      <c r="C413" s="1" t="n">
        <v>46182</v>
      </c>
      <c r="D413" t="inlineStr">
        <is>
          <t>GÄVLEBORGS LÄN</t>
        </is>
      </c>
      <c r="E413" t="inlineStr">
        <is>
          <t>GÄVLE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65879-2021</t>
        </is>
      </c>
      <c r="B414" s="1" t="n">
        <v>44517</v>
      </c>
      <c r="C414" s="1" t="n">
        <v>46182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35761-2022</t>
        </is>
      </c>
      <c r="B415" s="1" t="n">
        <v>44800</v>
      </c>
      <c r="C415" s="1" t="n">
        <v>46182</v>
      </c>
      <c r="D415" t="inlineStr">
        <is>
          <t>GÄVLEBORGS LÄN</t>
        </is>
      </c>
      <c r="E415" t="inlineStr">
        <is>
          <t>GÄVLE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6683-2026</t>
        </is>
      </c>
      <c r="B416" s="1" t="n">
        <v>46056.61979166666</v>
      </c>
      <c r="C416" s="1" t="n">
        <v>46182</v>
      </c>
      <c r="D416" t="inlineStr">
        <is>
          <t>GÄVLEBORGS LÄN</t>
        </is>
      </c>
      <c r="E416" t="inlineStr">
        <is>
          <t>GÄVLE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55221-2025</t>
        </is>
      </c>
      <c r="B417" s="1" t="n">
        <v>45968.59128472222</v>
      </c>
      <c r="C417" s="1" t="n">
        <v>46182</v>
      </c>
      <c r="D417" t="inlineStr">
        <is>
          <t>GÄVLEBORGS LÄN</t>
        </is>
      </c>
      <c r="E417" t="inlineStr">
        <is>
          <t>GÄVLE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70043-2021</t>
        </is>
      </c>
      <c r="B418" s="1" t="n">
        <v>44533</v>
      </c>
      <c r="C418" s="1" t="n">
        <v>46182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7239-2026</t>
        </is>
      </c>
      <c r="B419" s="1" t="n">
        <v>46058.58331018518</v>
      </c>
      <c r="C419" s="1" t="n">
        <v>46182</v>
      </c>
      <c r="D419" t="inlineStr">
        <is>
          <t>GÄVLEBORGS LÄN</t>
        </is>
      </c>
      <c r="E419" t="inlineStr">
        <is>
          <t>GÄVLE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56121-2025</t>
        </is>
      </c>
      <c r="B420" s="1" t="n">
        <v>45973</v>
      </c>
      <c r="C420" s="1" t="n">
        <v>46182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7252-2026</t>
        </is>
      </c>
      <c r="B421" s="1" t="n">
        <v>46058.59615740741</v>
      </c>
      <c r="C421" s="1" t="n">
        <v>46182</v>
      </c>
      <c r="D421" t="inlineStr">
        <is>
          <t>GÄVLEBORGS LÄN</t>
        </is>
      </c>
      <c r="E421" t="inlineStr">
        <is>
          <t>GÄVLE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3718-2025</t>
        </is>
      </c>
      <c r="B422" s="1" t="n">
        <v>45681.5280787037</v>
      </c>
      <c r="C422" s="1" t="n">
        <v>46182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14553-2026</t>
        </is>
      </c>
      <c r="B423" s="1" t="n">
        <v>46100</v>
      </c>
      <c r="C423" s="1" t="n">
        <v>46182</v>
      </c>
      <c r="D423" t="inlineStr">
        <is>
          <t>GÄVLEBORGS LÄN</t>
        </is>
      </c>
      <c r="E423" t="inlineStr">
        <is>
          <t>GÄVLE</t>
        </is>
      </c>
      <c r="F423" t="inlineStr">
        <is>
          <t>Övriga statliga verk och myndigheter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14554-2026</t>
        </is>
      </c>
      <c r="B424" s="1" t="n">
        <v>46100</v>
      </c>
      <c r="C424" s="1" t="n">
        <v>46182</v>
      </c>
      <c r="D424" t="inlineStr">
        <is>
          <t>GÄVLEBORGS LÄN</t>
        </is>
      </c>
      <c r="E424" t="inlineStr">
        <is>
          <t>GÄVLE</t>
        </is>
      </c>
      <c r="F424" t="inlineStr">
        <is>
          <t>Övriga statliga verk och myndigheter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56120-2025</t>
        </is>
      </c>
      <c r="B425" s="1" t="n">
        <v>45973</v>
      </c>
      <c r="C425" s="1" t="n">
        <v>46182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56122-2025</t>
        </is>
      </c>
      <c r="B426" s="1" t="n">
        <v>45973</v>
      </c>
      <c r="C426" s="1" t="n">
        <v>46182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56123-2025</t>
        </is>
      </c>
      <c r="B427" s="1" t="n">
        <v>45973</v>
      </c>
      <c r="C427" s="1" t="n">
        <v>46182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8292-2026</t>
        </is>
      </c>
      <c r="B428" s="1" t="n">
        <v>46063</v>
      </c>
      <c r="C428" s="1" t="n">
        <v>46182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8303-2026</t>
        </is>
      </c>
      <c r="B429" s="1" t="n">
        <v>46063</v>
      </c>
      <c r="C429" s="1" t="n">
        <v>46182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34600-2024</t>
        </is>
      </c>
      <c r="B430" s="1" t="n">
        <v>45526.39949074074</v>
      </c>
      <c r="C430" s="1" t="n">
        <v>46182</v>
      </c>
      <c r="D430" t="inlineStr">
        <is>
          <t>GÄVLEBORGS LÄN</t>
        </is>
      </c>
      <c r="E430" t="inlineStr">
        <is>
          <t>GÄVLE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8298-2026</t>
        </is>
      </c>
      <c r="B431" s="1" t="n">
        <v>46063</v>
      </c>
      <c r="C431" s="1" t="n">
        <v>46182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56271-2025</t>
        </is>
      </c>
      <c r="B432" s="1" t="n">
        <v>45974.58554398148</v>
      </c>
      <c r="C432" s="1" t="n">
        <v>46182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56277-2025</t>
        </is>
      </c>
      <c r="B433" s="1" t="n">
        <v>45974.58813657407</v>
      </c>
      <c r="C433" s="1" t="n">
        <v>46182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7665-2026</t>
        </is>
      </c>
      <c r="B434" s="1" t="n">
        <v>46062.40657407408</v>
      </c>
      <c r="C434" s="1" t="n">
        <v>46182</v>
      </c>
      <c r="D434" t="inlineStr">
        <is>
          <t>GÄVLEBORGS LÄN</t>
        </is>
      </c>
      <c r="E434" t="inlineStr">
        <is>
          <t>GÄVLE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7673-2026</t>
        </is>
      </c>
      <c r="B435" s="1" t="n">
        <v>46062</v>
      </c>
      <c r="C435" s="1" t="n">
        <v>46182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48834-2024</t>
        </is>
      </c>
      <c r="B436" s="1" t="n">
        <v>45593.71982638889</v>
      </c>
      <c r="C436" s="1" t="n">
        <v>46182</v>
      </c>
      <c r="D436" t="inlineStr">
        <is>
          <t>GÄVLEBORGS LÄN</t>
        </is>
      </c>
      <c r="E436" t="inlineStr">
        <is>
          <t>GÄVLE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56267-2025</t>
        </is>
      </c>
      <c r="B437" s="1" t="n">
        <v>45974.58145833333</v>
      </c>
      <c r="C437" s="1" t="n">
        <v>46182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56272-2025</t>
        </is>
      </c>
      <c r="B438" s="1" t="n">
        <v>45974.58606481482</v>
      </c>
      <c r="C438" s="1" t="n">
        <v>46182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56273-2025</t>
        </is>
      </c>
      <c r="B439" s="1" t="n">
        <v>45974.58680555555</v>
      </c>
      <c r="C439" s="1" t="n">
        <v>46182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8301-2026</t>
        </is>
      </c>
      <c r="B440" s="1" t="n">
        <v>46063</v>
      </c>
      <c r="C440" s="1" t="n">
        <v>46182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8023-2026</t>
        </is>
      </c>
      <c r="B441" s="1" t="n">
        <v>46063.55747685185</v>
      </c>
      <c r="C441" s="1" t="n">
        <v>46182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56275-2025</t>
        </is>
      </c>
      <c r="B442" s="1" t="n">
        <v>45974.58744212963</v>
      </c>
      <c r="C442" s="1" t="n">
        <v>46182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26131-2024</t>
        </is>
      </c>
      <c r="B443" s="1" t="n">
        <v>45468.47575231481</v>
      </c>
      <c r="C443" s="1" t="n">
        <v>46182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18216-2024</t>
        </is>
      </c>
      <c r="B444" s="1" t="n">
        <v>45420</v>
      </c>
      <c r="C444" s="1" t="n">
        <v>46182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56268-2025</t>
        </is>
      </c>
      <c r="B445" s="1" t="n">
        <v>45974.58296296297</v>
      </c>
      <c r="C445" s="1" t="n">
        <v>46182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56269-2025</t>
        </is>
      </c>
      <c r="B446" s="1" t="n">
        <v>45974.58350694444</v>
      </c>
      <c r="C446" s="1" t="n">
        <v>46182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56270-2025</t>
        </is>
      </c>
      <c r="B447" s="1" t="n">
        <v>45974.58498842592</v>
      </c>
      <c r="C447" s="1" t="n">
        <v>46182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15790-2026</t>
        </is>
      </c>
      <c r="B448" s="1" t="n">
        <v>46107.47663194445</v>
      </c>
      <c r="C448" s="1" t="n">
        <v>46182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57341-2023</t>
        </is>
      </c>
      <c r="B449" s="1" t="n">
        <v>45245</v>
      </c>
      <c r="C449" s="1" t="n">
        <v>46182</v>
      </c>
      <c r="D449" t="inlineStr">
        <is>
          <t>GÄVLEBORGS LÄN</t>
        </is>
      </c>
      <c r="E449" t="inlineStr">
        <is>
          <t>GÄVLE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56774-2025</t>
        </is>
      </c>
      <c r="B450" s="1" t="n">
        <v>45978.39347222223</v>
      </c>
      <c r="C450" s="1" t="n">
        <v>46182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56776-2025</t>
        </is>
      </c>
      <c r="B451" s="1" t="n">
        <v>45978.39571759259</v>
      </c>
      <c r="C451" s="1" t="n">
        <v>46182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61918-2023</t>
        </is>
      </c>
      <c r="B452" s="1" t="n">
        <v>45266.48171296297</v>
      </c>
      <c r="C452" s="1" t="n">
        <v>46182</v>
      </c>
      <c r="D452" t="inlineStr">
        <is>
          <t>GÄVLEBORGS LÄN</t>
        </is>
      </c>
      <c r="E452" t="inlineStr">
        <is>
          <t>GÄVLE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17245-2024</t>
        </is>
      </c>
      <c r="B453" s="1" t="n">
        <v>45414</v>
      </c>
      <c r="C453" s="1" t="n">
        <v>46182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8558-2026</t>
        </is>
      </c>
      <c r="B454" s="1" t="n">
        <v>46065.64013888889</v>
      </c>
      <c r="C454" s="1" t="n">
        <v>46182</v>
      </c>
      <c r="D454" t="inlineStr">
        <is>
          <t>GÄVLEBORGS LÄN</t>
        </is>
      </c>
      <c r="E454" t="inlineStr">
        <is>
          <t>GÄVLE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56773-2025</t>
        </is>
      </c>
      <c r="B455" s="1" t="n">
        <v>45978.38915509259</v>
      </c>
      <c r="C455" s="1" t="n">
        <v>46182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9129-2026</t>
        </is>
      </c>
      <c r="B456" s="1" t="n">
        <v>46069.70851851852</v>
      </c>
      <c r="C456" s="1" t="n">
        <v>46182</v>
      </c>
      <c r="D456" t="inlineStr">
        <is>
          <t>GÄVLEBORGS LÄN</t>
        </is>
      </c>
      <c r="E456" t="inlineStr">
        <is>
          <t>GÄVLE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18162-2022</t>
        </is>
      </c>
      <c r="B457" s="1" t="n">
        <v>44684</v>
      </c>
      <c r="C457" s="1" t="n">
        <v>46182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16144-2026</t>
        </is>
      </c>
      <c r="B458" s="1" t="n">
        <v>46108.66452546296</v>
      </c>
      <c r="C458" s="1" t="n">
        <v>46182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28403-2021</t>
        </is>
      </c>
      <c r="B459" s="1" t="n">
        <v>44356</v>
      </c>
      <c r="C459" s="1" t="n">
        <v>46182</v>
      </c>
      <c r="D459" t="inlineStr">
        <is>
          <t>GÄVLEBORGS LÄN</t>
        </is>
      </c>
      <c r="E459" t="inlineStr">
        <is>
          <t>GÄVLE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62255-2022</t>
        </is>
      </c>
      <c r="B460" s="1" t="n">
        <v>44922</v>
      </c>
      <c r="C460" s="1" t="n">
        <v>46182</v>
      </c>
      <c r="D460" t="inlineStr">
        <is>
          <t>GÄVLEBORGS LÄN</t>
        </is>
      </c>
      <c r="E460" t="inlineStr">
        <is>
          <t>GÄVLE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16076-2026</t>
        </is>
      </c>
      <c r="B461" s="1" t="n">
        <v>46108.54819444445</v>
      </c>
      <c r="C461" s="1" t="n">
        <v>46182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16263-2026</t>
        </is>
      </c>
      <c r="B462" s="1" t="n">
        <v>46111.47804398148</v>
      </c>
      <c r="C462" s="1" t="n">
        <v>46182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8954-2026</t>
        </is>
      </c>
      <c r="B463" s="1" t="n">
        <v>46069</v>
      </c>
      <c r="C463" s="1" t="n">
        <v>46182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16190-2026</t>
        </is>
      </c>
      <c r="B464" s="1" t="n">
        <v>46111.37851851852</v>
      </c>
      <c r="C464" s="1" t="n">
        <v>46182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47143-2024</t>
        </is>
      </c>
      <c r="B465" s="1" t="n">
        <v>45586.58848379629</v>
      </c>
      <c r="C465" s="1" t="n">
        <v>46182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57928-2024</t>
        </is>
      </c>
      <c r="B466" s="1" t="n">
        <v>45631.52173611111</v>
      </c>
      <c r="C466" s="1" t="n">
        <v>46182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9384-2026</t>
        </is>
      </c>
      <c r="B467" s="1" t="n">
        <v>46071.32976851852</v>
      </c>
      <c r="C467" s="1" t="n">
        <v>46182</v>
      </c>
      <c r="D467" t="inlineStr">
        <is>
          <t>GÄVLEBORGS LÄN</t>
        </is>
      </c>
      <c r="E467" t="inlineStr">
        <is>
          <t>GÄVLE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9534-2026</t>
        </is>
      </c>
      <c r="B468" s="1" t="n">
        <v>46071.61324074074</v>
      </c>
      <c r="C468" s="1" t="n">
        <v>46182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9422-2025</t>
        </is>
      </c>
      <c r="B469" s="1" t="n">
        <v>45715.39962962963</v>
      </c>
      <c r="C469" s="1" t="n">
        <v>46182</v>
      </c>
      <c r="D469" t="inlineStr">
        <is>
          <t>GÄVLEBORGS LÄN</t>
        </is>
      </c>
      <c r="E469" t="inlineStr">
        <is>
          <t>GÄVLE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38255-2023</t>
        </is>
      </c>
      <c r="B470" s="1" t="n">
        <v>45161.58774305556</v>
      </c>
      <c r="C470" s="1" t="n">
        <v>46182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10063-2026</t>
        </is>
      </c>
      <c r="B471" s="1" t="n">
        <v>46073.62988425926</v>
      </c>
      <c r="C471" s="1" t="n">
        <v>46182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9779-2026</t>
        </is>
      </c>
      <c r="B472" s="1" t="n">
        <v>46072.58086805556</v>
      </c>
      <c r="C472" s="1" t="n">
        <v>46182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9844-2026</t>
        </is>
      </c>
      <c r="B473" s="1" t="n">
        <v>46072.72241898148</v>
      </c>
      <c r="C473" s="1" t="n">
        <v>46182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61843-2023</t>
        </is>
      </c>
      <c r="B474" s="1" t="n">
        <v>45266.36988425926</v>
      </c>
      <c r="C474" s="1" t="n">
        <v>46182</v>
      </c>
      <c r="D474" t="inlineStr">
        <is>
          <t>GÄVLEBORGS LÄN</t>
        </is>
      </c>
      <c r="E474" t="inlineStr">
        <is>
          <t>GÄVLE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214-2025</t>
        </is>
      </c>
      <c r="B475" s="1" t="n">
        <v>45660.34046296297</v>
      </c>
      <c r="C475" s="1" t="n">
        <v>46182</v>
      </c>
      <c r="D475" t="inlineStr">
        <is>
          <t>GÄVLEBORGS LÄN</t>
        </is>
      </c>
      <c r="E475" t="inlineStr">
        <is>
          <t>GÄVLE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31062-2023</t>
        </is>
      </c>
      <c r="B476" s="1" t="n">
        <v>45113</v>
      </c>
      <c r="C476" s="1" t="n">
        <v>46182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9673-2026</t>
        </is>
      </c>
      <c r="B477" s="1" t="n">
        <v>46072.37966435185</v>
      </c>
      <c r="C477" s="1" t="n">
        <v>46182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26249-2022</t>
        </is>
      </c>
      <c r="B478" s="1" t="n">
        <v>44735.49341435185</v>
      </c>
      <c r="C478" s="1" t="n">
        <v>46182</v>
      </c>
      <c r="D478" t="inlineStr">
        <is>
          <t>GÄVLEBORGS LÄN</t>
        </is>
      </c>
      <c r="E478" t="inlineStr">
        <is>
          <t>GÄVLE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51876-2023</t>
        </is>
      </c>
      <c r="B479" s="1" t="n">
        <v>45223.38060185185</v>
      </c>
      <c r="C479" s="1" t="n">
        <v>46182</v>
      </c>
      <c r="D479" t="inlineStr">
        <is>
          <t>GÄVLEBORGS LÄN</t>
        </is>
      </c>
      <c r="E479" t="inlineStr">
        <is>
          <t>GÄVLE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9419-2025</t>
        </is>
      </c>
      <c r="B480" s="1" t="n">
        <v>45715.39568287037</v>
      </c>
      <c r="C480" s="1" t="n">
        <v>46182</v>
      </c>
      <c r="D480" t="inlineStr">
        <is>
          <t>GÄVLEBORGS LÄN</t>
        </is>
      </c>
      <c r="E480" t="inlineStr">
        <is>
          <t>GÄVLE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43771-2025</t>
        </is>
      </c>
      <c r="B481" s="1" t="n">
        <v>45912.50488425926</v>
      </c>
      <c r="C481" s="1" t="n">
        <v>46182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33449-2024</t>
        </is>
      </c>
      <c r="B482" s="1" t="n">
        <v>45519.56657407407</v>
      </c>
      <c r="C482" s="1" t="n">
        <v>46182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43780-2025</t>
        </is>
      </c>
      <c r="B483" s="1" t="n">
        <v>45912.52225694444</v>
      </c>
      <c r="C483" s="1" t="n">
        <v>46182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45448-2025</t>
        </is>
      </c>
      <c r="B484" s="1" t="n">
        <v>45922.48277777778</v>
      </c>
      <c r="C484" s="1" t="n">
        <v>46182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45469-2025</t>
        </is>
      </c>
      <c r="B485" s="1" t="n">
        <v>45922.51021990741</v>
      </c>
      <c r="C485" s="1" t="n">
        <v>46182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45548-2025</t>
        </is>
      </c>
      <c r="B486" s="1" t="n">
        <v>45922.63182870371</v>
      </c>
      <c r="C486" s="1" t="n">
        <v>46182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45410-2025</t>
        </is>
      </c>
      <c r="B487" s="1" t="n">
        <v>45922.43664351852</v>
      </c>
      <c r="C487" s="1" t="n">
        <v>46182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45442-2025</t>
        </is>
      </c>
      <c r="B488" s="1" t="n">
        <v>45922.47429398148</v>
      </c>
      <c r="C488" s="1" t="n">
        <v>46182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35440-2023</t>
        </is>
      </c>
      <c r="B489" s="1" t="n">
        <v>45146.63849537037</v>
      </c>
      <c r="C489" s="1" t="n">
        <v>46182</v>
      </c>
      <c r="D489" t="inlineStr">
        <is>
          <t>GÄVLEBORGS LÄN</t>
        </is>
      </c>
      <c r="E489" t="inlineStr">
        <is>
          <t>GÄVLE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43742-2025</t>
        </is>
      </c>
      <c r="B490" s="1" t="n">
        <v>45912.45679398148</v>
      </c>
      <c r="C490" s="1" t="n">
        <v>46182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10257-2026</t>
        </is>
      </c>
      <c r="B491" s="1" t="n">
        <v>46076.56271990741</v>
      </c>
      <c r="C491" s="1" t="n">
        <v>46182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58542-2025</t>
        </is>
      </c>
      <c r="B492" s="1" t="n">
        <v>45985.90041666666</v>
      </c>
      <c r="C492" s="1" t="n">
        <v>46182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43774-2025</t>
        </is>
      </c>
      <c r="B493" s="1" t="n">
        <v>45912.50679398148</v>
      </c>
      <c r="C493" s="1" t="n">
        <v>46182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10273-2026</t>
        </is>
      </c>
      <c r="B494" s="1" t="n">
        <v>46076.58215277778</v>
      </c>
      <c r="C494" s="1" t="n">
        <v>46182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19555-2022</t>
        </is>
      </c>
      <c r="B495" s="1" t="n">
        <v>44693</v>
      </c>
      <c r="C495" s="1" t="n">
        <v>46182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45426-2025</t>
        </is>
      </c>
      <c r="B496" s="1" t="n">
        <v>45922.45283564815</v>
      </c>
      <c r="C496" s="1" t="n">
        <v>46182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45546-2025</t>
        </is>
      </c>
      <c r="B497" s="1" t="n">
        <v>45922.62494212963</v>
      </c>
      <c r="C497" s="1" t="n">
        <v>46182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45415-2025</t>
        </is>
      </c>
      <c r="B498" s="1" t="n">
        <v>45922.44605324074</v>
      </c>
      <c r="C498" s="1" t="n">
        <v>46182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45438-2025</t>
        </is>
      </c>
      <c r="B499" s="1" t="n">
        <v>45922.47163194444</v>
      </c>
      <c r="C499" s="1" t="n">
        <v>46182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45456-2025</t>
        </is>
      </c>
      <c r="B500" s="1" t="n">
        <v>45922.49119212963</v>
      </c>
      <c r="C500" s="1" t="n">
        <v>46182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3662-2022</t>
        </is>
      </c>
      <c r="B501" s="1" t="n">
        <v>44586</v>
      </c>
      <c r="C501" s="1" t="n">
        <v>46182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7410-2025</t>
        </is>
      </c>
      <c r="B502" s="1" t="n">
        <v>45705.36710648148</v>
      </c>
      <c r="C502" s="1" t="n">
        <v>46182</v>
      </c>
      <c r="D502" t="inlineStr">
        <is>
          <t>GÄVLEBORGS LÄN</t>
        </is>
      </c>
      <c r="E502" t="inlineStr">
        <is>
          <t>GÄVLE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58925-2025</t>
        </is>
      </c>
      <c r="B503" s="1" t="n">
        <v>45987.54464120371</v>
      </c>
      <c r="C503" s="1" t="n">
        <v>46182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35331-2024</t>
        </is>
      </c>
      <c r="B504" s="1" t="n">
        <v>45530.76390046296</v>
      </c>
      <c r="C504" s="1" t="n">
        <v>46182</v>
      </c>
      <c r="D504" t="inlineStr">
        <is>
          <t>GÄVLEBORGS LÄN</t>
        </is>
      </c>
      <c r="E504" t="inlineStr">
        <is>
          <t>GÄVLE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10504-2026</t>
        </is>
      </c>
      <c r="B505" s="1" t="n">
        <v>46077.55472222222</v>
      </c>
      <c r="C505" s="1" t="n">
        <v>46182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15444-2024</t>
        </is>
      </c>
      <c r="B506" s="1" t="n">
        <v>45401</v>
      </c>
      <c r="C506" s="1" t="n">
        <v>46182</v>
      </c>
      <c r="D506" t="inlineStr">
        <is>
          <t>GÄVLEBORGS LÄN</t>
        </is>
      </c>
      <c r="E506" t="inlineStr">
        <is>
          <t>GÄVLE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11-2023</t>
        </is>
      </c>
      <c r="B507" s="1" t="n">
        <v>44927</v>
      </c>
      <c r="C507" s="1" t="n">
        <v>46182</v>
      </c>
      <c r="D507" t="inlineStr">
        <is>
          <t>GÄVLEBORGS LÄN</t>
        </is>
      </c>
      <c r="E507" t="inlineStr">
        <is>
          <t>GÄVLE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10169-2026</t>
        </is>
      </c>
      <c r="B508" s="1" t="n">
        <v>46076.41836805556</v>
      </c>
      <c r="C508" s="1" t="n">
        <v>46182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43764-2025</t>
        </is>
      </c>
      <c r="B509" s="1" t="n">
        <v>45912.49040509259</v>
      </c>
      <c r="C509" s="1" t="n">
        <v>46182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44806-2024</t>
        </is>
      </c>
      <c r="B510" s="1" t="n">
        <v>45574.65305555556</v>
      </c>
      <c r="C510" s="1" t="n">
        <v>46182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30330-2021</t>
        </is>
      </c>
      <c r="B511" s="1" t="n">
        <v>44364.38038194444</v>
      </c>
      <c r="C511" s="1" t="n">
        <v>46182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23638-2024</t>
        </is>
      </c>
      <c r="B512" s="1" t="n">
        <v>45454.48969907407</v>
      </c>
      <c r="C512" s="1" t="n">
        <v>46182</v>
      </c>
      <c r="D512" t="inlineStr">
        <is>
          <t>GÄVLEBORGS LÄN</t>
        </is>
      </c>
      <c r="E512" t="inlineStr">
        <is>
          <t>GÄVLE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49380-2024</t>
        </is>
      </c>
      <c r="B513" s="1" t="n">
        <v>45595.64767361111</v>
      </c>
      <c r="C513" s="1" t="n">
        <v>46182</v>
      </c>
      <c r="D513" t="inlineStr">
        <is>
          <t>GÄVLEBORGS LÄN</t>
        </is>
      </c>
      <c r="E513" t="inlineStr">
        <is>
          <t>GÄVLE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14606-2025</t>
        </is>
      </c>
      <c r="B514" s="1" t="n">
        <v>45742.37480324074</v>
      </c>
      <c r="C514" s="1" t="n">
        <v>46182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59624-2025</t>
        </is>
      </c>
      <c r="B515" s="1" t="n">
        <v>45992.38846064815</v>
      </c>
      <c r="C515" s="1" t="n">
        <v>46182</v>
      </c>
      <c r="D515" t="inlineStr">
        <is>
          <t>GÄVLEBORGS LÄN</t>
        </is>
      </c>
      <c r="E515" t="inlineStr">
        <is>
          <t>GÄVLE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52250-2024</t>
        </is>
      </c>
      <c r="B516" s="1" t="n">
        <v>45608.62623842592</v>
      </c>
      <c r="C516" s="1" t="n">
        <v>46182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60038-2025</t>
        </is>
      </c>
      <c r="B517" s="1" t="n">
        <v>45993.61978009259</v>
      </c>
      <c r="C517" s="1" t="n">
        <v>46182</v>
      </c>
      <c r="D517" t="inlineStr">
        <is>
          <t>GÄVLEBORGS LÄN</t>
        </is>
      </c>
      <c r="E517" t="inlineStr">
        <is>
          <t>GÄVLE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46549-2021</t>
        </is>
      </c>
      <c r="B518" s="1" t="n">
        <v>44445</v>
      </c>
      <c r="C518" s="1" t="n">
        <v>46182</v>
      </c>
      <c r="D518" t="inlineStr">
        <is>
          <t>GÄVLEBORGS LÄN</t>
        </is>
      </c>
      <c r="E518" t="inlineStr">
        <is>
          <t>GÄVLE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59627-2025</t>
        </is>
      </c>
      <c r="B519" s="1" t="n">
        <v>45992.39109953704</v>
      </c>
      <c r="C519" s="1" t="n">
        <v>46182</v>
      </c>
      <c r="D519" t="inlineStr">
        <is>
          <t>GÄVLEBORGS LÄN</t>
        </is>
      </c>
      <c r="E519" t="inlineStr">
        <is>
          <t>GÄVLE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39107-2022</t>
        </is>
      </c>
      <c r="B520" s="1" t="n">
        <v>44817.43700231481</v>
      </c>
      <c r="C520" s="1" t="n">
        <v>46182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30875-2022</t>
        </is>
      </c>
      <c r="B521" s="1" t="n">
        <v>44767.55229166667</v>
      </c>
      <c r="C521" s="1" t="n">
        <v>46182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3334-2022</t>
        </is>
      </c>
      <c r="B522" s="1" t="n">
        <v>44585.3431712963</v>
      </c>
      <c r="C522" s="1" t="n">
        <v>46182</v>
      </c>
      <c r="D522" t="inlineStr">
        <is>
          <t>GÄVLEBORGS LÄN</t>
        </is>
      </c>
      <c r="E522" t="inlineStr">
        <is>
          <t>GÄVLE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11114-2026</t>
        </is>
      </c>
      <c r="B523" s="1" t="n">
        <v>46079.66746527778</v>
      </c>
      <c r="C523" s="1" t="n">
        <v>46182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60349-2022</t>
        </is>
      </c>
      <c r="B524" s="1" t="n">
        <v>44910</v>
      </c>
      <c r="C524" s="1" t="n">
        <v>46182</v>
      </c>
      <c r="D524" t="inlineStr">
        <is>
          <t>GÄVLEBORGS LÄN</t>
        </is>
      </c>
      <c r="E524" t="inlineStr">
        <is>
          <t>GÄVLE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60105-2025</t>
        </is>
      </c>
      <c r="B525" s="1" t="n">
        <v>45994.27650462963</v>
      </c>
      <c r="C525" s="1" t="n">
        <v>46182</v>
      </c>
      <c r="D525" t="inlineStr">
        <is>
          <t>GÄVLEBORGS LÄN</t>
        </is>
      </c>
      <c r="E525" t="inlineStr">
        <is>
          <t>GÄVLE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60364-2025</t>
        </is>
      </c>
      <c r="B526" s="1" t="n">
        <v>45995.335625</v>
      </c>
      <c r="C526" s="1" t="n">
        <v>46182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41100-2024</t>
        </is>
      </c>
      <c r="B527" s="1" t="n">
        <v>45559</v>
      </c>
      <c r="C527" s="1" t="n">
        <v>46182</v>
      </c>
      <c r="D527" t="inlineStr">
        <is>
          <t>GÄVLEBORGS LÄN</t>
        </is>
      </c>
      <c r="E527" t="inlineStr">
        <is>
          <t>GÄVLE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58196-2024</t>
        </is>
      </c>
      <c r="B528" s="1" t="n">
        <v>45632.48064814815</v>
      </c>
      <c r="C528" s="1" t="n">
        <v>46182</v>
      </c>
      <c r="D528" t="inlineStr">
        <is>
          <t>GÄVLEBORGS LÄN</t>
        </is>
      </c>
      <c r="E528" t="inlineStr">
        <is>
          <t>GÄVLE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60532-2025</t>
        </is>
      </c>
      <c r="B529" s="1" t="n">
        <v>45995.6593287037</v>
      </c>
      <c r="C529" s="1" t="n">
        <v>46182</v>
      </c>
      <c r="D529" t="inlineStr">
        <is>
          <t>GÄVLEBORGS LÄN</t>
        </is>
      </c>
      <c r="E529" t="inlineStr">
        <is>
          <t>GÄVLE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55217-2025</t>
        </is>
      </c>
      <c r="B530" s="1" t="n">
        <v>45968</v>
      </c>
      <c r="C530" s="1" t="n">
        <v>46182</v>
      </c>
      <c r="D530" t="inlineStr">
        <is>
          <t>GÄVLEBORGS LÄN</t>
        </is>
      </c>
      <c r="E530" t="inlineStr">
        <is>
          <t>GÄVLE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26334-2022</t>
        </is>
      </c>
      <c r="B531" s="1" t="n">
        <v>44735.61462962963</v>
      </c>
      <c r="C531" s="1" t="n">
        <v>46182</v>
      </c>
      <c r="D531" t="inlineStr">
        <is>
          <t>GÄVLEBORGS LÄN</t>
        </is>
      </c>
      <c r="E531" t="inlineStr">
        <is>
          <t>GÄVLE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11523-2026</t>
        </is>
      </c>
      <c r="B532" s="1" t="n">
        <v>46083.67523148148</v>
      </c>
      <c r="C532" s="1" t="n">
        <v>46182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20999-2022</t>
        </is>
      </c>
      <c r="B533" s="1" t="n">
        <v>44701</v>
      </c>
      <c r="C533" s="1" t="n">
        <v>46182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60536-2025</t>
        </is>
      </c>
      <c r="B534" s="1" t="n">
        <v>45995.66488425926</v>
      </c>
      <c r="C534" s="1" t="n">
        <v>46182</v>
      </c>
      <c r="D534" t="inlineStr">
        <is>
          <t>GÄVLEBORGS LÄN</t>
        </is>
      </c>
      <c r="E534" t="inlineStr">
        <is>
          <t>GÄVLE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11926-2026</t>
        </is>
      </c>
      <c r="B535" s="1" t="n">
        <v>46085.57392361111</v>
      </c>
      <c r="C535" s="1" t="n">
        <v>46182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32143-2024</t>
        </is>
      </c>
      <c r="B536" s="1" t="n">
        <v>45511.55277777778</v>
      </c>
      <c r="C536" s="1" t="n">
        <v>46182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12015-2026</t>
        </is>
      </c>
      <c r="B537" s="1" t="n">
        <v>46085.75361111111</v>
      </c>
      <c r="C537" s="1" t="n">
        <v>46182</v>
      </c>
      <c r="D537" t="inlineStr">
        <is>
          <t>GÄVLEBORGS LÄN</t>
        </is>
      </c>
      <c r="E537" t="inlineStr">
        <is>
          <t>GÄVLE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35205-2024</t>
        </is>
      </c>
      <c r="B538" s="1" t="n">
        <v>45530</v>
      </c>
      <c r="C538" s="1" t="n">
        <v>46182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57570-2024</t>
        </is>
      </c>
      <c r="B539" s="1" t="n">
        <v>45630.46627314815</v>
      </c>
      <c r="C539" s="1" t="n">
        <v>46182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2274-2025</t>
        </is>
      </c>
      <c r="B540" s="1" t="n">
        <v>45673.55641203704</v>
      </c>
      <c r="C540" s="1" t="n">
        <v>46182</v>
      </c>
      <c r="D540" t="inlineStr">
        <is>
          <t>GÄVLEBORGS LÄN</t>
        </is>
      </c>
      <c r="E540" t="inlineStr">
        <is>
          <t>GÄVLE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18218-2024</t>
        </is>
      </c>
      <c r="B541" s="1" t="n">
        <v>45420</v>
      </c>
      <c r="C541" s="1" t="n">
        <v>46182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60922-2025</t>
        </is>
      </c>
      <c r="B542" s="1" t="n">
        <v>45999.62391203704</v>
      </c>
      <c r="C542" s="1" t="n">
        <v>46182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1252-2026</t>
        </is>
      </c>
      <c r="B543" s="1" t="n">
        <v>46031</v>
      </c>
      <c r="C543" s="1" t="n">
        <v>46182</v>
      </c>
      <c r="D543" t="inlineStr">
        <is>
          <t>GÄVLEBORGS LÄN</t>
        </is>
      </c>
      <c r="E543" t="inlineStr">
        <is>
          <t>GÄVLE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61093-2025</t>
        </is>
      </c>
      <c r="B544" s="1" t="n">
        <v>46000.43332175926</v>
      </c>
      <c r="C544" s="1" t="n">
        <v>46182</v>
      </c>
      <c r="D544" t="inlineStr">
        <is>
          <t>GÄVLEBORGS LÄN</t>
        </is>
      </c>
      <c r="E544" t="inlineStr">
        <is>
          <t>GÄVLE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16401-2025</t>
        </is>
      </c>
      <c r="B545" s="1" t="n">
        <v>45751</v>
      </c>
      <c r="C545" s="1" t="n">
        <v>46182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12948-2026</t>
        </is>
      </c>
      <c r="B546" s="1" t="n">
        <v>46092.62972222222</v>
      </c>
      <c r="C546" s="1" t="n">
        <v>46182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5633-2024</t>
        </is>
      </c>
      <c r="B547" s="1" t="n">
        <v>45334.61027777778</v>
      </c>
      <c r="C547" s="1" t="n">
        <v>46182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13961-2024</t>
        </is>
      </c>
      <c r="B548" s="1" t="n">
        <v>45392.3412962963</v>
      </c>
      <c r="C548" s="1" t="n">
        <v>46182</v>
      </c>
      <c r="D548" t="inlineStr">
        <is>
          <t>GÄVLEBORGS LÄN</t>
        </is>
      </c>
      <c r="E548" t="inlineStr">
        <is>
          <t>GÄVLE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18168-2022</t>
        </is>
      </c>
      <c r="B549" s="1" t="n">
        <v>44684</v>
      </c>
      <c r="C549" s="1" t="n">
        <v>46182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16474-2026</t>
        </is>
      </c>
      <c r="B550" s="1" t="n">
        <v>46112.38414351852</v>
      </c>
      <c r="C550" s="1" t="n">
        <v>46182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12738-2026</t>
        </is>
      </c>
      <c r="B551" s="1" t="n">
        <v>46091</v>
      </c>
      <c r="C551" s="1" t="n">
        <v>46182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12952-2026</t>
        </is>
      </c>
      <c r="B552" s="1" t="n">
        <v>46092.63569444444</v>
      </c>
      <c r="C552" s="1" t="n">
        <v>46182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12990-2026</t>
        </is>
      </c>
      <c r="B553" s="1" t="n">
        <v>46092.66668981482</v>
      </c>
      <c r="C553" s="1" t="n">
        <v>46182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61449-2025</t>
        </is>
      </c>
      <c r="B554" s="1" t="n">
        <v>46001.57627314814</v>
      </c>
      <c r="C554" s="1" t="n">
        <v>46182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61880-2025</t>
        </is>
      </c>
      <c r="B555" s="1" t="n">
        <v>46003.41349537037</v>
      </c>
      <c r="C555" s="1" t="n">
        <v>46182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61650-2025</t>
        </is>
      </c>
      <c r="B556" s="1" t="n">
        <v>46002.44396990741</v>
      </c>
      <c r="C556" s="1" t="n">
        <v>46182</v>
      </c>
      <c r="D556" t="inlineStr">
        <is>
          <t>GÄVLEBORGS LÄN</t>
        </is>
      </c>
      <c r="E556" t="inlineStr">
        <is>
          <t>GÄVLE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61648-2025</t>
        </is>
      </c>
      <c r="B557" s="1" t="n">
        <v>46002.44233796297</v>
      </c>
      <c r="C557" s="1" t="n">
        <v>46182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61651-2025</t>
        </is>
      </c>
      <c r="B558" s="1" t="n">
        <v>46002.44537037037</v>
      </c>
      <c r="C558" s="1" t="n">
        <v>46182</v>
      </c>
      <c r="D558" t="inlineStr">
        <is>
          <t>GÄVLEBORGS LÄN</t>
        </is>
      </c>
      <c r="E558" t="inlineStr">
        <is>
          <t>GÄVLE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61879-2025</t>
        </is>
      </c>
      <c r="B559" s="1" t="n">
        <v>46003.41318287037</v>
      </c>
      <c r="C559" s="1" t="n">
        <v>46182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12954-2026</t>
        </is>
      </c>
      <c r="B560" s="1" t="n">
        <v>46092.6362962963</v>
      </c>
      <c r="C560" s="1" t="n">
        <v>46182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13475-2026</t>
        </is>
      </c>
      <c r="B561" s="1" t="n">
        <v>46094</v>
      </c>
      <c r="C561" s="1" t="n">
        <v>46182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13415-2026</t>
        </is>
      </c>
      <c r="B562" s="1" t="n">
        <v>46094.47126157407</v>
      </c>
      <c r="C562" s="1" t="n">
        <v>46182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13498-2026</t>
        </is>
      </c>
      <c r="B563" s="1" t="n">
        <v>46094.59052083334</v>
      </c>
      <c r="C563" s="1" t="n">
        <v>46182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13317-2026</t>
        </is>
      </c>
      <c r="B564" s="1" t="n">
        <v>46094</v>
      </c>
      <c r="C564" s="1" t="n">
        <v>46182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25466-2023</t>
        </is>
      </c>
      <c r="B565" s="1" t="n">
        <v>45089.45114583334</v>
      </c>
      <c r="C565" s="1" t="n">
        <v>46182</v>
      </c>
      <c r="D565" t="inlineStr">
        <is>
          <t>GÄVLEBORGS LÄN</t>
        </is>
      </c>
      <c r="E565" t="inlineStr">
        <is>
          <t>GÄVLE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62226-2025</t>
        </is>
      </c>
      <c r="B566" s="1" t="n">
        <v>46006.58587962963</v>
      </c>
      <c r="C566" s="1" t="n">
        <v>46182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13489-2026</t>
        </is>
      </c>
      <c r="B567" s="1" t="n">
        <v>46094.58612268518</v>
      </c>
      <c r="C567" s="1" t="n">
        <v>46182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13500-2026</t>
        </is>
      </c>
      <c r="B568" s="1" t="n">
        <v>46094.5940625</v>
      </c>
      <c r="C568" s="1" t="n">
        <v>46182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13521-2026</t>
        </is>
      </c>
      <c r="B569" s="1" t="n">
        <v>46094.62585648148</v>
      </c>
      <c r="C569" s="1" t="n">
        <v>46182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13329-2026</t>
        </is>
      </c>
      <c r="B570" s="1" t="n">
        <v>46094.36238425926</v>
      </c>
      <c r="C570" s="1" t="n">
        <v>46182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13432-2026</t>
        </is>
      </c>
      <c r="B571" s="1" t="n">
        <v>46094.48659722223</v>
      </c>
      <c r="C571" s="1" t="n">
        <v>46182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13389-2026</t>
        </is>
      </c>
      <c r="B572" s="1" t="n">
        <v>46094.4377662037</v>
      </c>
      <c r="C572" s="1" t="n">
        <v>46182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13503-2026</t>
        </is>
      </c>
      <c r="B573" s="1" t="n">
        <v>46094.59457175926</v>
      </c>
      <c r="C573" s="1" t="n">
        <v>46182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19730-2022</t>
        </is>
      </c>
      <c r="B574" s="1" t="n">
        <v>44694</v>
      </c>
      <c r="C574" s="1" t="n">
        <v>46182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13104-2026</t>
        </is>
      </c>
      <c r="B575" s="1" t="n">
        <v>46093</v>
      </c>
      <c r="C575" s="1" t="n">
        <v>46182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13487-2026</t>
        </is>
      </c>
      <c r="B576" s="1" t="n">
        <v>46094.58378472222</v>
      </c>
      <c r="C576" s="1" t="n">
        <v>46182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13527-2026</t>
        </is>
      </c>
      <c r="B577" s="1" t="n">
        <v>46094.64728009259</v>
      </c>
      <c r="C577" s="1" t="n">
        <v>46182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7060-2022</t>
        </is>
      </c>
      <c r="B578" s="1" t="n">
        <v>44603.53943287037</v>
      </c>
      <c r="C578" s="1" t="n">
        <v>46182</v>
      </c>
      <c r="D578" t="inlineStr">
        <is>
          <t>GÄVLEBORGS LÄN</t>
        </is>
      </c>
      <c r="E578" t="inlineStr">
        <is>
          <t>GÄVLE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34233-2023</t>
        </is>
      </c>
      <c r="B579" s="1" t="n">
        <v>45138.52274305555</v>
      </c>
      <c r="C579" s="1" t="n">
        <v>46182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41708-2023</t>
        </is>
      </c>
      <c r="B580" s="1" t="n">
        <v>45176</v>
      </c>
      <c r="C580" s="1" t="n">
        <v>46182</v>
      </c>
      <c r="D580" t="inlineStr">
        <is>
          <t>GÄVLEBORGS LÄN</t>
        </is>
      </c>
      <c r="E580" t="inlineStr">
        <is>
          <t>GÄVLE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41712-2023</t>
        </is>
      </c>
      <c r="B581" s="1" t="n">
        <v>45176</v>
      </c>
      <c r="C581" s="1" t="n">
        <v>46182</v>
      </c>
      <c r="D581" t="inlineStr">
        <is>
          <t>GÄVLEBORGS LÄN</t>
        </is>
      </c>
      <c r="E581" t="inlineStr">
        <is>
          <t>GÄVLE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62558-2025</t>
        </is>
      </c>
      <c r="B582" s="1" t="n">
        <v>46007.68518518518</v>
      </c>
      <c r="C582" s="1" t="n">
        <v>46182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13574-2026</t>
        </is>
      </c>
      <c r="B583" s="1" t="n">
        <v>46095.65392361111</v>
      </c>
      <c r="C583" s="1" t="n">
        <v>46182</v>
      </c>
      <c r="D583" t="inlineStr">
        <is>
          <t>GÄVLEBORGS LÄN</t>
        </is>
      </c>
      <c r="E583" t="inlineStr">
        <is>
          <t>GÄVLE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5413-2023</t>
        </is>
      </c>
      <c r="B584" s="1" t="n">
        <v>44959.72408564815</v>
      </c>
      <c r="C584" s="1" t="n">
        <v>46182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40091-2023</t>
        </is>
      </c>
      <c r="B585" s="1" t="n">
        <v>45168.92969907408</v>
      </c>
      <c r="C585" s="1" t="n">
        <v>46182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44951.34615740741</v>
      </c>
      <c r="C586" s="1" t="n">
        <v>46182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3715-2023</t>
        </is>
      </c>
      <c r="B587" s="1" t="n">
        <v>44951</v>
      </c>
      <c r="C587" s="1" t="n">
        <v>46182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13893-2026</t>
        </is>
      </c>
      <c r="B588" s="1" t="n">
        <v>46098</v>
      </c>
      <c r="C588" s="1" t="n">
        <v>46182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62570-2025</t>
        </is>
      </c>
      <c r="B589" s="1" t="n">
        <v>46007.71622685185</v>
      </c>
      <c r="C589" s="1" t="n">
        <v>46182</v>
      </c>
      <c r="D589" t="inlineStr">
        <is>
          <t>GÄVLEBORGS LÄN</t>
        </is>
      </c>
      <c r="E589" t="inlineStr">
        <is>
          <t>GÄVLE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51368-2024</t>
        </is>
      </c>
      <c r="B590" s="1" t="n">
        <v>45604.37246527777</v>
      </c>
      <c r="C590" s="1" t="n">
        <v>46182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14280-2026</t>
        </is>
      </c>
      <c r="B591" s="1" t="n">
        <v>46099.6690625</v>
      </c>
      <c r="C591" s="1" t="n">
        <v>46182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20734-2026</t>
        </is>
      </c>
      <c r="B592" s="1" t="n">
        <v>46141.56456018519</v>
      </c>
      <c r="C592" s="1" t="n">
        <v>46182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62742-2025</t>
        </is>
      </c>
      <c r="B593" s="1" t="n">
        <v>46008.57488425926</v>
      </c>
      <c r="C593" s="1" t="n">
        <v>46182</v>
      </c>
      <c r="D593" t="inlineStr">
        <is>
          <t>GÄVLEBORGS LÄN</t>
        </is>
      </c>
      <c r="E593" t="inlineStr">
        <is>
          <t>GÄVLE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4235-2025</t>
        </is>
      </c>
      <c r="B594" s="1" t="n">
        <v>45685.56496527778</v>
      </c>
      <c r="C594" s="1" t="n">
        <v>46182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14401-2026</t>
        </is>
      </c>
      <c r="B595" s="1" t="n">
        <v>46100.41849537037</v>
      </c>
      <c r="C595" s="1" t="n">
        <v>46182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20685-2026</t>
        </is>
      </c>
      <c r="B596" s="1" t="n">
        <v>46141.45400462963</v>
      </c>
      <c r="C596" s="1" t="n">
        <v>46182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20906-2026</t>
        </is>
      </c>
      <c r="B597" s="1" t="n">
        <v>46142.46260416666</v>
      </c>
      <c r="C597" s="1" t="n">
        <v>46182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6331-2022</t>
        </is>
      </c>
      <c r="B598" s="1" t="n">
        <v>44600</v>
      </c>
      <c r="C598" s="1" t="n">
        <v>46182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59322-2022</t>
        </is>
      </c>
      <c r="B599" s="1" t="n">
        <v>44904.63638888889</v>
      </c>
      <c r="C599" s="1" t="n">
        <v>46182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5728-2023</t>
        </is>
      </c>
      <c r="B600" s="1" t="n">
        <v>44962.43650462963</v>
      </c>
      <c r="C600" s="1" t="n">
        <v>46182</v>
      </c>
      <c r="D600" t="inlineStr">
        <is>
          <t>GÄVLEBORGS LÄN</t>
        </is>
      </c>
      <c r="E600" t="inlineStr">
        <is>
          <t>GÄVLE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247-2025</t>
        </is>
      </c>
      <c r="B601" s="1" t="n">
        <v>45660.41883101852</v>
      </c>
      <c r="C601" s="1" t="n">
        <v>46182</v>
      </c>
      <c r="D601" t="inlineStr">
        <is>
          <t>GÄVLEBORGS LÄN</t>
        </is>
      </c>
      <c r="E601" t="inlineStr">
        <is>
          <t>GÄVLE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250-2025</t>
        </is>
      </c>
      <c r="B602" s="1" t="n">
        <v>45660.42574074074</v>
      </c>
      <c r="C602" s="1" t="n">
        <v>46182</v>
      </c>
      <c r="D602" t="inlineStr">
        <is>
          <t>GÄVLEBORGS LÄN</t>
        </is>
      </c>
      <c r="E602" t="inlineStr">
        <is>
          <t>GÄVLE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56138-2023</t>
        </is>
      </c>
      <c r="B603" s="1" t="n">
        <v>45240.59244212963</v>
      </c>
      <c r="C603" s="1" t="n">
        <v>46182</v>
      </c>
      <c r="D603" t="inlineStr">
        <is>
          <t>GÄVLEBORGS LÄN</t>
        </is>
      </c>
      <c r="E603" t="inlineStr">
        <is>
          <t>GÄVLE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20785-2026</t>
        </is>
      </c>
      <c r="B604" s="1" t="n">
        <v>46141.64128472222</v>
      </c>
      <c r="C604" s="1" t="n">
        <v>46182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20735-2026</t>
        </is>
      </c>
      <c r="B605" s="1" t="n">
        <v>46141.56612268519</v>
      </c>
      <c r="C605" s="1" t="n">
        <v>46182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20736-2026</t>
        </is>
      </c>
      <c r="B606" s="1" t="n">
        <v>46141.56825231481</v>
      </c>
      <c r="C606" s="1" t="n">
        <v>46182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14459-2026</t>
        </is>
      </c>
      <c r="B607" s="1" t="n">
        <v>46100</v>
      </c>
      <c r="C607" s="1" t="n">
        <v>46182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20905-2026</t>
        </is>
      </c>
      <c r="B608" s="1" t="n">
        <v>46142.46168981482</v>
      </c>
      <c r="C608" s="1" t="n">
        <v>46182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14963-2026</t>
        </is>
      </c>
      <c r="B609" s="1" t="n">
        <v>46104.56049768518</v>
      </c>
      <c r="C609" s="1" t="n">
        <v>46182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2247-2023</t>
        </is>
      </c>
      <c r="B610" s="1" t="n">
        <v>44942.47491898148</v>
      </c>
      <c r="C610" s="1" t="n">
        <v>46182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21033-2026</t>
        </is>
      </c>
      <c r="B611" s="1" t="n">
        <v>46146.33988425926</v>
      </c>
      <c r="C611" s="1" t="n">
        <v>46182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47108-2024</t>
        </is>
      </c>
      <c r="B612" s="1" t="n">
        <v>45586.55236111111</v>
      </c>
      <c r="C612" s="1" t="n">
        <v>46182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14583-2026</t>
        </is>
      </c>
      <c r="B613" s="1" t="n">
        <v>46101</v>
      </c>
      <c r="C613" s="1" t="n">
        <v>46182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33635-2024</t>
        </is>
      </c>
      <c r="B614" s="1" t="n">
        <v>45520.4345949074</v>
      </c>
      <c r="C614" s="1" t="n">
        <v>46182</v>
      </c>
      <c r="D614" t="inlineStr">
        <is>
          <t>GÄVLEBORGS LÄN</t>
        </is>
      </c>
      <c r="E614" t="inlineStr">
        <is>
          <t>GÄVLE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33637-2024</t>
        </is>
      </c>
      <c r="B615" s="1" t="n">
        <v>45520.44162037037</v>
      </c>
      <c r="C615" s="1" t="n">
        <v>46182</v>
      </c>
      <c r="D615" t="inlineStr">
        <is>
          <t>GÄVLEBORGS LÄN</t>
        </is>
      </c>
      <c r="E615" t="inlineStr">
        <is>
          <t>GÄVLE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15046-2026</t>
        </is>
      </c>
      <c r="B616" s="1" t="n">
        <v>46104.66539351852</v>
      </c>
      <c r="C616" s="1" t="n">
        <v>46182</v>
      </c>
      <c r="D616" t="inlineStr">
        <is>
          <t>GÄVLEBORGS LÄN</t>
        </is>
      </c>
      <c r="E616" t="inlineStr">
        <is>
          <t>GÄVLE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4091-2025</t>
        </is>
      </c>
      <c r="B617" s="1" t="n">
        <v>45684.67659722222</v>
      </c>
      <c r="C617" s="1" t="n">
        <v>46182</v>
      </c>
      <c r="D617" t="inlineStr">
        <is>
          <t>GÄVLEBORGS LÄN</t>
        </is>
      </c>
      <c r="E617" t="inlineStr">
        <is>
          <t>GÄVLE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14642-2026</t>
        </is>
      </c>
      <c r="B618" s="1" t="n">
        <v>46101</v>
      </c>
      <c r="C618" s="1" t="n">
        <v>46182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25645-2023</t>
        </is>
      </c>
      <c r="B619" s="1" t="n">
        <v>45089.77170138889</v>
      </c>
      <c r="C619" s="1" t="n">
        <v>46182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7998-2023</t>
        </is>
      </c>
      <c r="B620" s="1" t="n">
        <v>44973</v>
      </c>
      <c r="C620" s="1" t="n">
        <v>46182</v>
      </c>
      <c r="D620" t="inlineStr">
        <is>
          <t>GÄVLEBORGS LÄN</t>
        </is>
      </c>
      <c r="E620" t="inlineStr">
        <is>
          <t>GÄVLE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21300-2024</t>
        </is>
      </c>
      <c r="B621" s="1" t="n">
        <v>45440.67074074074</v>
      </c>
      <c r="C621" s="1" t="n">
        <v>46182</v>
      </c>
      <c r="D621" t="inlineStr">
        <is>
          <t>GÄVLEBORGS LÄN</t>
        </is>
      </c>
      <c r="E621" t="inlineStr">
        <is>
          <t>GÄVLE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47746-2023</t>
        </is>
      </c>
      <c r="B622" s="1" t="n">
        <v>45203</v>
      </c>
      <c r="C622" s="1" t="n">
        <v>46182</v>
      </c>
      <c r="D622" t="inlineStr">
        <is>
          <t>GÄVLEBORGS LÄN</t>
        </is>
      </c>
      <c r="E622" t="inlineStr">
        <is>
          <t>GÄVLE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15669-2026</t>
        </is>
      </c>
      <c r="B623" s="1" t="n">
        <v>46106.6988425926</v>
      </c>
      <c r="C623" s="1" t="n">
        <v>46182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58192-2024</t>
        </is>
      </c>
      <c r="B624" s="1" t="n">
        <v>45632.47849537037</v>
      </c>
      <c r="C624" s="1" t="n">
        <v>46182</v>
      </c>
      <c r="D624" t="inlineStr">
        <is>
          <t>GÄVLEBORGS LÄN</t>
        </is>
      </c>
      <c r="E624" t="inlineStr">
        <is>
          <t>GÄVLE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54207-2023</t>
        </is>
      </c>
      <c r="B625" s="1" t="n">
        <v>45232.56643518519</v>
      </c>
      <c r="C625" s="1" t="n">
        <v>46182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15935-2025</t>
        </is>
      </c>
      <c r="B626" s="1" t="n">
        <v>45749</v>
      </c>
      <c r="C626" s="1" t="n">
        <v>46182</v>
      </c>
      <c r="D626" t="inlineStr">
        <is>
          <t>GÄVLEBORGS LÄN</t>
        </is>
      </c>
      <c r="E626" t="inlineStr">
        <is>
          <t>GÄVLE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2461-2024</t>
        </is>
      </c>
      <c r="B627" s="1" t="n">
        <v>45312.93891203704</v>
      </c>
      <c r="C627" s="1" t="n">
        <v>46182</v>
      </c>
      <c r="D627" t="inlineStr">
        <is>
          <t>GÄVLEBORGS LÄN</t>
        </is>
      </c>
      <c r="E627" t="inlineStr">
        <is>
          <t>GÄVLE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52495-2021</t>
        </is>
      </c>
      <c r="B628" s="1" t="n">
        <v>44466.43295138889</v>
      </c>
      <c r="C628" s="1" t="n">
        <v>46182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34668-2024</t>
        </is>
      </c>
      <c r="B629" s="1" t="n">
        <v>45526.51855324074</v>
      </c>
      <c r="C629" s="1" t="n">
        <v>46182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1062-2025</t>
        </is>
      </c>
      <c r="B630" s="1" t="n">
        <v>45666.58149305556</v>
      </c>
      <c r="C630" s="1" t="n">
        <v>46182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15535-2026</t>
        </is>
      </c>
      <c r="B631" s="1" t="n">
        <v>46106.505625</v>
      </c>
      <c r="C631" s="1" t="n">
        <v>46182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15097-2026</t>
        </is>
      </c>
      <c r="B632" s="1" t="n">
        <v>46105.34400462963</v>
      </c>
      <c r="C632" s="1" t="n">
        <v>46182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20689-2024</t>
        </is>
      </c>
      <c r="B633" s="1" t="n">
        <v>45436</v>
      </c>
      <c r="C633" s="1" t="n">
        <v>46182</v>
      </c>
      <c r="D633" t="inlineStr">
        <is>
          <t>GÄVLEBORGS LÄN</t>
        </is>
      </c>
      <c r="E633" t="inlineStr">
        <is>
          <t>GÄVLE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25814-2023</t>
        </is>
      </c>
      <c r="B634" s="1" t="n">
        <v>45090.53184027778</v>
      </c>
      <c r="C634" s="1" t="n">
        <v>46182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21364-2026</t>
        </is>
      </c>
      <c r="B635" s="1" t="n">
        <v>46147.64966435185</v>
      </c>
      <c r="C635" s="1" t="n">
        <v>46182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21367-2026</t>
        </is>
      </c>
      <c r="B636" s="1" t="n">
        <v>46147.65070601852</v>
      </c>
      <c r="C636" s="1" t="n">
        <v>46182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32353-2023</t>
        </is>
      </c>
      <c r="B637" s="1" t="n">
        <v>45120.51550925926</v>
      </c>
      <c r="C637" s="1" t="n">
        <v>46182</v>
      </c>
      <c r="D637" t="inlineStr">
        <is>
          <t>GÄVLEBORGS LÄN</t>
        </is>
      </c>
      <c r="E637" t="inlineStr">
        <is>
          <t>GÄVLE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14792-2023</t>
        </is>
      </c>
      <c r="B638" s="1" t="n">
        <v>45014</v>
      </c>
      <c r="C638" s="1" t="n">
        <v>46182</v>
      </c>
      <c r="D638" t="inlineStr">
        <is>
          <t>GÄVLEBORGS LÄN</t>
        </is>
      </c>
      <c r="E638" t="inlineStr">
        <is>
          <t>GÄVLE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21365-2026</t>
        </is>
      </c>
      <c r="B639" s="1" t="n">
        <v>46147.64998842592</v>
      </c>
      <c r="C639" s="1" t="n">
        <v>46182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15093-2026</t>
        </is>
      </c>
      <c r="B640" s="1" t="n">
        <v>46105.33461805555</v>
      </c>
      <c r="C640" s="1" t="n">
        <v>46182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15868-2026</t>
        </is>
      </c>
      <c r="B641" s="1" t="n">
        <v>46107</v>
      </c>
      <c r="C641" s="1" t="n">
        <v>46182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15843-2026</t>
        </is>
      </c>
      <c r="B642" s="1" t="n">
        <v>46107.56509259259</v>
      </c>
      <c r="C642" s="1" t="n">
        <v>46182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61301-2024</t>
        </is>
      </c>
      <c r="B643" s="1" t="n">
        <v>45645.9084375</v>
      </c>
      <c r="C643" s="1" t="n">
        <v>46182</v>
      </c>
      <c r="D643" t="inlineStr">
        <is>
          <t>GÄVLEBORGS LÄN</t>
        </is>
      </c>
      <c r="E643" t="inlineStr">
        <is>
          <t>GÄVLE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64868-2023</t>
        </is>
      </c>
      <c r="B644" s="1" t="n">
        <v>45282</v>
      </c>
      <c r="C644" s="1" t="n">
        <v>46182</v>
      </c>
      <c r="D644" t="inlineStr">
        <is>
          <t>GÄVLEBORGS LÄN</t>
        </is>
      </c>
      <c r="E644" t="inlineStr">
        <is>
          <t>GÄVLE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15985-2026</t>
        </is>
      </c>
      <c r="B645" s="1" t="n">
        <v>46108.36623842592</v>
      </c>
      <c r="C645" s="1" t="n">
        <v>46182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15993-2026</t>
        </is>
      </c>
      <c r="B646" s="1" t="n">
        <v>46108.37981481481</v>
      </c>
      <c r="C646" s="1" t="n">
        <v>46182</v>
      </c>
      <c r="D646" t="inlineStr">
        <is>
          <t>GÄVLEBORGS LÄN</t>
        </is>
      </c>
      <c r="E646" t="inlineStr">
        <is>
          <t>GÄVLE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1974-2025</t>
        </is>
      </c>
      <c r="B647" s="1" t="n">
        <v>45672.39145833333</v>
      </c>
      <c r="C647" s="1" t="n">
        <v>46182</v>
      </c>
      <c r="D647" t="inlineStr">
        <is>
          <t>GÄVLEBORGS LÄN</t>
        </is>
      </c>
      <c r="E647" t="inlineStr">
        <is>
          <t>GÄVLE</t>
        </is>
      </c>
      <c r="F647" t="inlineStr">
        <is>
          <t>Kyrkan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22054-2026</t>
        </is>
      </c>
      <c r="B648" s="1" t="n">
        <v>46153.47409722222</v>
      </c>
      <c r="C648" s="1" t="n">
        <v>46182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22354-2026</t>
        </is>
      </c>
      <c r="B649" s="1" t="n">
        <v>46154.58805555556</v>
      </c>
      <c r="C649" s="1" t="n">
        <v>46182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22358-2026</t>
        </is>
      </c>
      <c r="B650" s="1" t="n">
        <v>46154.59299768518</v>
      </c>
      <c r="C650" s="1" t="n">
        <v>46182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61016-2024</t>
        </is>
      </c>
      <c r="B651" s="1" t="n">
        <v>45645.45041666667</v>
      </c>
      <c r="C651" s="1" t="n">
        <v>46182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18361-2024</t>
        </is>
      </c>
      <c r="B652" s="1" t="n">
        <v>45422</v>
      </c>
      <c r="C652" s="1" t="n">
        <v>46182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38495-2023</t>
        </is>
      </c>
      <c r="B653" s="1" t="n">
        <v>45162</v>
      </c>
      <c r="C653" s="1" t="n">
        <v>46182</v>
      </c>
      <c r="D653" t="inlineStr">
        <is>
          <t>GÄVLEBORGS LÄN</t>
        </is>
      </c>
      <c r="E653" t="inlineStr">
        <is>
          <t>GÄVLE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16345-2026</t>
        </is>
      </c>
      <c r="B654" s="1" t="n">
        <v>46111</v>
      </c>
      <c r="C654" s="1" t="n">
        <v>46182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22149-2026</t>
        </is>
      </c>
      <c r="B655" s="1" t="n">
        <v>46153.61505787037</v>
      </c>
      <c r="C655" s="1" t="n">
        <v>46182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20682-2023</t>
        </is>
      </c>
      <c r="B656" s="1" t="n">
        <v>45058.38581018519</v>
      </c>
      <c r="C656" s="1" t="n">
        <v>46182</v>
      </c>
      <c r="D656" t="inlineStr">
        <is>
          <t>GÄVLEBORGS LÄN</t>
        </is>
      </c>
      <c r="E656" t="inlineStr">
        <is>
          <t>GÄVLE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22075-2026</t>
        </is>
      </c>
      <c r="B657" s="1" t="n">
        <v>46153.51030092593</v>
      </c>
      <c r="C657" s="1" t="n">
        <v>46182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16430-2026</t>
        </is>
      </c>
      <c r="B658" s="1" t="n">
        <v>46111.69962962963</v>
      </c>
      <c r="C658" s="1" t="n">
        <v>46182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3639-2022</t>
        </is>
      </c>
      <c r="B659" s="1" t="n">
        <v>44586</v>
      </c>
      <c r="C659" s="1" t="n">
        <v>46182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12079-2025</t>
        </is>
      </c>
      <c r="B660" s="1" t="n">
        <v>45728.88731481481</v>
      </c>
      <c r="C660" s="1" t="n">
        <v>46182</v>
      </c>
      <c r="D660" t="inlineStr">
        <is>
          <t>GÄVLEBORGS LÄN</t>
        </is>
      </c>
      <c r="E660" t="inlineStr">
        <is>
          <t>GÄVLE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1594-2024</t>
        </is>
      </c>
      <c r="B661" s="1" t="n">
        <v>45306.58793981482</v>
      </c>
      <c r="C661" s="1" t="n">
        <v>46182</v>
      </c>
      <c r="D661" t="inlineStr">
        <is>
          <t>GÄVLEBORGS LÄN</t>
        </is>
      </c>
      <c r="E661" t="inlineStr">
        <is>
          <t>GÄVLE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12083-2025</t>
        </is>
      </c>
      <c r="B662" s="1" t="n">
        <v>45728.9183449074</v>
      </c>
      <c r="C662" s="1" t="n">
        <v>46182</v>
      </c>
      <c r="D662" t="inlineStr">
        <is>
          <t>GÄVLEBORGS LÄN</t>
        </is>
      </c>
      <c r="E662" t="inlineStr">
        <is>
          <t>GÄVLE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22356-2026</t>
        </is>
      </c>
      <c r="B663" s="1" t="n">
        <v>46154.58971064815</v>
      </c>
      <c r="C663" s="1" t="n">
        <v>46182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22361-2026</t>
        </is>
      </c>
      <c r="B664" s="1" t="n">
        <v>46154.59606481482</v>
      </c>
      <c r="C664" s="1" t="n">
        <v>46182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22052-2026</t>
        </is>
      </c>
      <c r="B665" s="1" t="n">
        <v>46153.4730324074</v>
      </c>
      <c r="C665" s="1" t="n">
        <v>46182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22053-2026</t>
        </is>
      </c>
      <c r="B666" s="1" t="n">
        <v>46153.47357638889</v>
      </c>
      <c r="C666" s="1" t="n">
        <v>46182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22363-2026</t>
        </is>
      </c>
      <c r="B667" s="1" t="n">
        <v>46154.59824074074</v>
      </c>
      <c r="C667" s="1" t="n">
        <v>46182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24-2025</t>
        </is>
      </c>
      <c r="B668" s="1" t="n">
        <v>45658.82557870371</v>
      </c>
      <c r="C668" s="1" t="n">
        <v>46182</v>
      </c>
      <c r="D668" t="inlineStr">
        <is>
          <t>GÄVLEBORGS LÄN</t>
        </is>
      </c>
      <c r="E668" t="inlineStr">
        <is>
          <t>GÄVLE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66351-2021</t>
        </is>
      </c>
      <c r="B669" s="1" t="n">
        <v>44518</v>
      </c>
      <c r="C669" s="1" t="n">
        <v>46182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46182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5487-2025</t>
        </is>
      </c>
      <c r="B671" s="1" t="n">
        <v>45693.36196759259</v>
      </c>
      <c r="C671" s="1" t="n">
        <v>46182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22517-2026</t>
        </is>
      </c>
      <c r="B672" s="1" t="n">
        <v>46155.45892361111</v>
      </c>
      <c r="C672" s="1" t="n">
        <v>46182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62983-2023</t>
        </is>
      </c>
      <c r="B673" s="1" t="n">
        <v>45272</v>
      </c>
      <c r="C673" s="1" t="n">
        <v>46182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22508-2026</t>
        </is>
      </c>
      <c r="B674" s="1" t="n">
        <v>46155.43725694445</v>
      </c>
      <c r="C674" s="1" t="n">
        <v>46182</v>
      </c>
      <c r="D674" t="inlineStr">
        <is>
          <t>GÄVLEBORGS LÄN</t>
        </is>
      </c>
      <c r="E674" t="inlineStr">
        <is>
          <t>GÄVLE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13227-2024</t>
        </is>
      </c>
      <c r="B675" s="1" t="n">
        <v>45386</v>
      </c>
      <c r="C675" s="1" t="n">
        <v>46182</v>
      </c>
      <c r="D675" t="inlineStr">
        <is>
          <t>GÄVLEBORGS LÄN</t>
        </is>
      </c>
      <c r="E675" t="inlineStr">
        <is>
          <t>GÄVLE</t>
        </is>
      </c>
      <c r="F675" t="inlineStr">
        <is>
          <t>Övriga statliga verk och myndigheter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33901-2024</t>
        </is>
      </c>
      <c r="B676" s="1" t="n">
        <v>45523</v>
      </c>
      <c r="C676" s="1" t="n">
        <v>46182</v>
      </c>
      <c r="D676" t="inlineStr">
        <is>
          <t>GÄVLEBORGS LÄN</t>
        </is>
      </c>
      <c r="E676" t="inlineStr">
        <is>
          <t>GÄVLE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22570-2026</t>
        </is>
      </c>
      <c r="B677" s="1" t="n">
        <v>46155.56421296296</v>
      </c>
      <c r="C677" s="1" t="n">
        <v>46182</v>
      </c>
      <c r="D677" t="inlineStr">
        <is>
          <t>GÄVLEBORGS LÄN</t>
        </is>
      </c>
      <c r="E677" t="inlineStr">
        <is>
          <t>GÄVLE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22584-2026</t>
        </is>
      </c>
      <c r="B678" s="1" t="n">
        <v>46155.57263888889</v>
      </c>
      <c r="C678" s="1" t="n">
        <v>46182</v>
      </c>
      <c r="D678" t="inlineStr">
        <is>
          <t>GÄVLEBORGS LÄN</t>
        </is>
      </c>
      <c r="E678" t="inlineStr">
        <is>
          <t>GÄVLE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29929-2022</t>
        </is>
      </c>
      <c r="B679" s="1" t="n">
        <v>44756.57740740741</v>
      </c>
      <c r="C679" s="1" t="n">
        <v>46182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22545-2026</t>
        </is>
      </c>
      <c r="B680" s="1" t="n">
        <v>46155.50611111111</v>
      </c>
      <c r="C680" s="1" t="n">
        <v>46182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22844-2026</t>
        </is>
      </c>
      <c r="B681" s="1" t="n">
        <v>46160.39144675926</v>
      </c>
      <c r="C681" s="1" t="n">
        <v>46182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38673-2024</t>
        </is>
      </c>
      <c r="B682" s="1" t="n">
        <v>45547.33135416666</v>
      </c>
      <c r="C682" s="1" t="n">
        <v>46182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35989-2024</t>
        </is>
      </c>
      <c r="B683" s="1" t="n">
        <v>45533.52966435185</v>
      </c>
      <c r="C683" s="1" t="n">
        <v>46182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HYPERLINK("https://klasma.github.io/Logging_2180/knärot/A 35989-2024 karta knärot.png", "A 35989-2024")</f>
        <v/>
      </c>
      <c r="V683">
        <f>HYPERLINK("https://klasma.github.io/Logging_2180/klagomål/A 35989-2024 FSC-klagomål.docx", "A 35989-2024")</f>
        <v/>
      </c>
      <c r="W683">
        <f>HYPERLINK("https://klasma.github.io/Logging_2180/klagomålsmail/A 35989-2024 FSC-klagomål mail.docx", "A 35989-2024")</f>
        <v/>
      </c>
      <c r="X683">
        <f>HYPERLINK("https://klasma.github.io/Logging_2180/tillsyn/A 35989-2024 tillsynsbegäran.docx", "A 35989-2024")</f>
        <v/>
      </c>
      <c r="Y683">
        <f>HYPERLINK("https://klasma.github.io/Logging_2180/tillsynsmail/A 35989-2024 tillsynsbegäran mail.docx", "A 35989-2024")</f>
        <v/>
      </c>
    </row>
    <row r="684" ht="15" customHeight="1">
      <c r="A684" t="inlineStr">
        <is>
          <t>A 22968-2026</t>
        </is>
      </c>
      <c r="B684" s="1" t="n">
        <v>46160.61356481481</v>
      </c>
      <c r="C684" s="1" t="n">
        <v>46182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23003-2026</t>
        </is>
      </c>
      <c r="B685" s="1" t="n">
        <v>46160</v>
      </c>
      <c r="C685" s="1" t="n">
        <v>46182</v>
      </c>
      <c r="D685" t="inlineStr">
        <is>
          <t>GÄVLEBORGS LÄN</t>
        </is>
      </c>
      <c r="E685" t="inlineStr">
        <is>
          <t>GÄVLE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22848-2026</t>
        </is>
      </c>
      <c r="B686" s="1" t="n">
        <v>46160.39597222222</v>
      </c>
      <c r="C686" s="1" t="n">
        <v>46182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22892-2026</t>
        </is>
      </c>
      <c r="B687" s="1" t="n">
        <v>46157</v>
      </c>
      <c r="C687" s="1" t="n">
        <v>46182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1244-2023</t>
        </is>
      </c>
      <c r="B688" s="1" t="n">
        <v>44936.34145833334</v>
      </c>
      <c r="C688" s="1" t="n">
        <v>46182</v>
      </c>
      <c r="D688" t="inlineStr">
        <is>
          <t>GÄVLEBORGS LÄN</t>
        </is>
      </c>
      <c r="E688" t="inlineStr">
        <is>
          <t>GÄVLE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17471-2026</t>
        </is>
      </c>
      <c r="B689" s="1" t="n">
        <v>46120</v>
      </c>
      <c r="C689" s="1" t="n">
        <v>46182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60442-2022</t>
        </is>
      </c>
      <c r="B690" s="1" t="n">
        <v>44911.36083333333</v>
      </c>
      <c r="C690" s="1" t="n">
        <v>46182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17293-2026</t>
        </is>
      </c>
      <c r="B691" s="1" t="n">
        <v>46119</v>
      </c>
      <c r="C691" s="1" t="n">
        <v>46182</v>
      </c>
      <c r="D691" t="inlineStr">
        <is>
          <t>GÄVLEBORGS LÄN</t>
        </is>
      </c>
      <c r="E691" t="inlineStr">
        <is>
          <t>GÄVLE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50314-2024</t>
        </is>
      </c>
      <c r="B692" s="1" t="n">
        <v>45600.65686342592</v>
      </c>
      <c r="C692" s="1" t="n">
        <v>46182</v>
      </c>
      <c r="D692" t="inlineStr">
        <is>
          <t>GÄVLEBORGS LÄN</t>
        </is>
      </c>
      <c r="E692" t="inlineStr">
        <is>
          <t>GÄVLE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20621-2025</t>
        </is>
      </c>
      <c r="B693" s="1" t="n">
        <v>45776.32197916666</v>
      </c>
      <c r="C693" s="1" t="n">
        <v>46182</v>
      </c>
      <c r="D693" t="inlineStr">
        <is>
          <t>GÄVLEBORGS LÄN</t>
        </is>
      </c>
      <c r="E693" t="inlineStr">
        <is>
          <t>GÄVLE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11390-2025</t>
        </is>
      </c>
      <c r="B694" s="1" t="n">
        <v>45726.57084490741</v>
      </c>
      <c r="C694" s="1" t="n">
        <v>46182</v>
      </c>
      <c r="D694" t="inlineStr">
        <is>
          <t>GÄVLEBORGS LÄN</t>
        </is>
      </c>
      <c r="E694" t="inlineStr">
        <is>
          <t>GÄVLE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61786-2024</t>
        </is>
      </c>
      <c r="B695" s="1" t="n">
        <v>45649</v>
      </c>
      <c r="C695" s="1" t="n">
        <v>46182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11768-2025</t>
        </is>
      </c>
      <c r="B696" s="1" t="n">
        <v>45727.67243055555</v>
      </c>
      <c r="C696" s="1" t="n">
        <v>46182</v>
      </c>
      <c r="D696" t="inlineStr">
        <is>
          <t>GÄVLEBORGS LÄN</t>
        </is>
      </c>
      <c r="E696" t="inlineStr">
        <is>
          <t>GÄVLE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45938-2024</t>
        </is>
      </c>
      <c r="B697" s="1" t="n">
        <v>45580</v>
      </c>
      <c r="C697" s="1" t="n">
        <v>46182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21431-2025</t>
        </is>
      </c>
      <c r="B698" s="1" t="n">
        <v>45782.51104166666</v>
      </c>
      <c r="C698" s="1" t="n">
        <v>46182</v>
      </c>
      <c r="D698" t="inlineStr">
        <is>
          <t>GÄVLEBORGS LÄN</t>
        </is>
      </c>
      <c r="E698" t="inlineStr">
        <is>
          <t>GÄVLE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3615-2024</t>
        </is>
      </c>
      <c r="B699" s="1" t="n">
        <v>45320</v>
      </c>
      <c r="C699" s="1" t="n">
        <v>46182</v>
      </c>
      <c r="D699" t="inlineStr">
        <is>
          <t>GÄVLEBORGS LÄN</t>
        </is>
      </c>
      <c r="E699" t="inlineStr">
        <is>
          <t>GÄVLE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23117-2026</t>
        </is>
      </c>
      <c r="B700" s="1" t="n">
        <v>46161.59104166667</v>
      </c>
      <c r="C700" s="1" t="n">
        <v>46182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17291-2026</t>
        </is>
      </c>
      <c r="B701" s="1" t="n">
        <v>46119.5544212963</v>
      </c>
      <c r="C701" s="1" t="n">
        <v>46182</v>
      </c>
      <c r="D701" t="inlineStr">
        <is>
          <t>GÄVLEBORGS LÄN</t>
        </is>
      </c>
      <c r="E701" t="inlineStr">
        <is>
          <t>GÄVLE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17297-2026</t>
        </is>
      </c>
      <c r="B702" s="1" t="n">
        <v>46119.56329861111</v>
      </c>
      <c r="C702" s="1" t="n">
        <v>46182</v>
      </c>
      <c r="D702" t="inlineStr">
        <is>
          <t>GÄVLEBORGS LÄN</t>
        </is>
      </c>
      <c r="E702" t="inlineStr">
        <is>
          <t>GÄVLE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17300-2026</t>
        </is>
      </c>
      <c r="B703" s="1" t="n">
        <v>46119.56710648148</v>
      </c>
      <c r="C703" s="1" t="n">
        <v>46182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17830-2026</t>
        </is>
      </c>
      <c r="B704" s="1" t="n">
        <v>46122.44664351852</v>
      </c>
      <c r="C704" s="1" t="n">
        <v>46182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23591-2026</t>
        </is>
      </c>
      <c r="B705" s="1" t="n">
        <v>46163.63872685185</v>
      </c>
      <c r="C705" s="1" t="n">
        <v>46182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7202-2025</t>
        </is>
      </c>
      <c r="B706" s="1" t="n">
        <v>45702.46539351852</v>
      </c>
      <c r="C706" s="1" t="n">
        <v>46182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17695-2026</t>
        </is>
      </c>
      <c r="B707" s="1" t="n">
        <v>46121.65543981481</v>
      </c>
      <c r="C707" s="1" t="n">
        <v>46182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59044-2023</t>
        </is>
      </c>
      <c r="B708" s="1" t="n">
        <v>45252.72782407407</v>
      </c>
      <c r="C708" s="1" t="n">
        <v>46182</v>
      </c>
      <c r="D708" t="inlineStr">
        <is>
          <t>GÄVLEBORGS LÄN</t>
        </is>
      </c>
      <c r="E708" t="inlineStr">
        <is>
          <t>GÄVLE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10488-2026</t>
        </is>
      </c>
      <c r="B709" s="1" t="n">
        <v>46077</v>
      </c>
      <c r="C709" s="1" t="n">
        <v>46182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22377-2026</t>
        </is>
      </c>
      <c r="B710" s="1" t="n">
        <v>46154</v>
      </c>
      <c r="C710" s="1" t="n">
        <v>46182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3862-2024</t>
        </is>
      </c>
      <c r="B711" s="1" t="n">
        <v>45322.38930555555</v>
      </c>
      <c r="C711" s="1" t="n">
        <v>46182</v>
      </c>
      <c r="D711" t="inlineStr">
        <is>
          <t>GÄVLEBORGS LÄN</t>
        </is>
      </c>
      <c r="E711" t="inlineStr">
        <is>
          <t>GÄVLE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17863-2026</t>
        </is>
      </c>
      <c r="B712" s="1" t="n">
        <v>46122</v>
      </c>
      <c r="C712" s="1" t="n">
        <v>46182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8680-2026</t>
        </is>
      </c>
      <c r="B713" s="1" t="n">
        <v>46066</v>
      </c>
      <c r="C713" s="1" t="n">
        <v>46182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17954-2026</t>
        </is>
      </c>
      <c r="B714" s="1" t="n">
        <v>46122.67862268518</v>
      </c>
      <c r="C714" s="1" t="n">
        <v>46182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22111-2026</t>
        </is>
      </c>
      <c r="B715" s="1" t="n">
        <v>46153</v>
      </c>
      <c r="C715" s="1" t="n">
        <v>46182</v>
      </c>
      <c r="D715" t="inlineStr">
        <is>
          <t>GÄVLEBORGS LÄN</t>
        </is>
      </c>
      <c r="E715" t="inlineStr">
        <is>
          <t>GÄVLE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32255-2023</t>
        </is>
      </c>
      <c r="B716" s="1" t="n">
        <v>45120.29087962963</v>
      </c>
      <c r="C716" s="1" t="n">
        <v>46182</v>
      </c>
      <c r="D716" t="inlineStr">
        <is>
          <t>GÄVLEBORGS LÄN</t>
        </is>
      </c>
      <c r="E716" t="inlineStr">
        <is>
          <t>GÄVLE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7501-2026</t>
        </is>
      </c>
      <c r="B717" s="1" t="n">
        <v>46059</v>
      </c>
      <c r="C717" s="1" t="n">
        <v>46182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18173-2026</t>
        </is>
      </c>
      <c r="B718" s="1" t="n">
        <v>46125.66662037037</v>
      </c>
      <c r="C718" s="1" t="n">
        <v>46182</v>
      </c>
      <c r="D718" t="inlineStr">
        <is>
          <t>GÄVLEBORGS LÄN</t>
        </is>
      </c>
      <c r="E718" t="inlineStr">
        <is>
          <t>GÄVLE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7451-2025</t>
        </is>
      </c>
      <c r="B719" s="1" t="n">
        <v>45705.42418981482</v>
      </c>
      <c r="C719" s="1" t="n">
        <v>46182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11572-2026</t>
        </is>
      </c>
      <c r="B720" s="1" t="n">
        <v>46084</v>
      </c>
      <c r="C720" s="1" t="n">
        <v>46182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18175-2026</t>
        </is>
      </c>
      <c r="B721" s="1" t="n">
        <v>46125.66703703703</v>
      </c>
      <c r="C721" s="1" t="n">
        <v>46182</v>
      </c>
      <c r="D721" t="inlineStr">
        <is>
          <t>GÄVLEBORGS LÄN</t>
        </is>
      </c>
      <c r="E721" t="inlineStr">
        <is>
          <t>GÄVLE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44800-2024</t>
        </is>
      </c>
      <c r="B722" s="1" t="n">
        <v>45574.64898148148</v>
      </c>
      <c r="C722" s="1" t="n">
        <v>46182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12437-2024</t>
        </is>
      </c>
      <c r="B723" s="1" t="n">
        <v>45379.44809027778</v>
      </c>
      <c r="C723" s="1" t="n">
        <v>46182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23956-2026</t>
        </is>
      </c>
      <c r="B724" s="1" t="n">
        <v>46167.57326388889</v>
      </c>
      <c r="C724" s="1" t="n">
        <v>46182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17976-2026</t>
        </is>
      </c>
      <c r="B725" s="1" t="n">
        <v>46124.39304398148</v>
      </c>
      <c r="C725" s="1" t="n">
        <v>46182</v>
      </c>
      <c r="D725" t="inlineStr">
        <is>
          <t>GÄVLEBORGS LÄN</t>
        </is>
      </c>
      <c r="E725" t="inlineStr">
        <is>
          <t>GÄVLE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17977-2026</t>
        </is>
      </c>
      <c r="B726" s="1" t="n">
        <v>46124.3962962963</v>
      </c>
      <c r="C726" s="1" t="n">
        <v>46182</v>
      </c>
      <c r="D726" t="inlineStr">
        <is>
          <t>GÄVLEBORGS LÄN</t>
        </is>
      </c>
      <c r="E726" t="inlineStr">
        <is>
          <t>GÄVLE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23291-2025</t>
        </is>
      </c>
      <c r="B727" s="1" t="n">
        <v>45791.58666666667</v>
      </c>
      <c r="C727" s="1" t="n">
        <v>46182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2458-2024</t>
        </is>
      </c>
      <c r="B728" s="1" t="n">
        <v>45312.89796296296</v>
      </c>
      <c r="C728" s="1" t="n">
        <v>46182</v>
      </c>
      <c r="D728" t="inlineStr">
        <is>
          <t>GÄVLEBORGS LÄN</t>
        </is>
      </c>
      <c r="E728" t="inlineStr">
        <is>
          <t>GÄVLE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22121-2026</t>
        </is>
      </c>
      <c r="B729" s="1" t="n">
        <v>46153</v>
      </c>
      <c r="C729" s="1" t="n">
        <v>46182</v>
      </c>
      <c r="D729" t="inlineStr">
        <is>
          <t>GÄVLEBORGS LÄN</t>
        </is>
      </c>
      <c r="E729" t="inlineStr">
        <is>
          <t>GÄVLE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23232-2025</t>
        </is>
      </c>
      <c r="B730" s="1" t="n">
        <v>45791.49224537037</v>
      </c>
      <c r="C730" s="1" t="n">
        <v>46182</v>
      </c>
      <c r="D730" t="inlineStr">
        <is>
          <t>GÄVLEBORGS LÄN</t>
        </is>
      </c>
      <c r="E730" t="inlineStr">
        <is>
          <t>GÄVLE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22879-2025</t>
        </is>
      </c>
      <c r="B731" s="1" t="n">
        <v>45790.38057870371</v>
      </c>
      <c r="C731" s="1" t="n">
        <v>46182</v>
      </c>
      <c r="D731" t="inlineStr">
        <is>
          <t>GÄVLEBORGS LÄN</t>
        </is>
      </c>
      <c r="E731" t="inlineStr">
        <is>
          <t>GÄVLE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17974-2026</t>
        </is>
      </c>
      <c r="B732" s="1" t="n">
        <v>46124.38633101852</v>
      </c>
      <c r="C732" s="1" t="n">
        <v>46182</v>
      </c>
      <c r="D732" t="inlineStr">
        <is>
          <t>GÄVLEBORGS LÄN</t>
        </is>
      </c>
      <c r="E732" t="inlineStr">
        <is>
          <t>GÄVLE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17975-2026</t>
        </is>
      </c>
      <c r="B733" s="1" t="n">
        <v>46124.3903125</v>
      </c>
      <c r="C733" s="1" t="n">
        <v>46182</v>
      </c>
      <c r="D733" t="inlineStr">
        <is>
          <t>GÄVLEBORGS LÄN</t>
        </is>
      </c>
      <c r="E733" t="inlineStr">
        <is>
          <t>GÄVLE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23324-2025</t>
        </is>
      </c>
      <c r="B734" s="1" t="n">
        <v>45791.62157407407</v>
      </c>
      <c r="C734" s="1" t="n">
        <v>46182</v>
      </c>
      <c r="D734" t="inlineStr">
        <is>
          <t>GÄVLEBORGS LÄN</t>
        </is>
      </c>
      <c r="E734" t="inlineStr">
        <is>
          <t>GÄVLE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24090-2026</t>
        </is>
      </c>
      <c r="B735" s="1" t="n">
        <v>46168.38943287037</v>
      </c>
      <c r="C735" s="1" t="n">
        <v>46182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24089-2026</t>
        </is>
      </c>
      <c r="B736" s="1" t="n">
        <v>46168.3860300926</v>
      </c>
      <c r="C736" s="1" t="n">
        <v>46182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59817-2023</t>
        </is>
      </c>
      <c r="B737" s="1" t="n">
        <v>45257.52494212963</v>
      </c>
      <c r="C737" s="1" t="n">
        <v>46182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24099-2026</t>
        </is>
      </c>
      <c r="B738" s="1" t="n">
        <v>46168.40164351852</v>
      </c>
      <c r="C738" s="1" t="n">
        <v>46182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10333-2025</t>
        </is>
      </c>
      <c r="B739" s="1" t="n">
        <v>45720.48692129629</v>
      </c>
      <c r="C739" s="1" t="n">
        <v>46182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13045-2026</t>
        </is>
      </c>
      <c r="B740" s="1" t="n">
        <v>46093</v>
      </c>
      <c r="C740" s="1" t="n">
        <v>46182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13046-2026</t>
        </is>
      </c>
      <c r="B741" s="1" t="n">
        <v>46093</v>
      </c>
      <c r="C741" s="1" t="n">
        <v>46182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18657-2026</t>
        </is>
      </c>
      <c r="B742" s="1" t="n">
        <v>46128</v>
      </c>
      <c r="C742" s="1" t="n">
        <v>46182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18660-2026</t>
        </is>
      </c>
      <c r="B743" s="1" t="n">
        <v>46128</v>
      </c>
      <c r="C743" s="1" t="n">
        <v>46182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22923-2025</t>
        </is>
      </c>
      <c r="B744" s="1" t="n">
        <v>45790.44008101852</v>
      </c>
      <c r="C744" s="1" t="n">
        <v>46182</v>
      </c>
      <c r="D744" t="inlineStr">
        <is>
          <t>GÄVLEBORGS LÄN</t>
        </is>
      </c>
      <c r="E744" t="inlineStr">
        <is>
          <t>GÄVLE</t>
        </is>
      </c>
      <c r="G744" t="n">
        <v>20.8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24398-2026</t>
        </is>
      </c>
      <c r="B745" s="1" t="n">
        <v>46169.65392361111</v>
      </c>
      <c r="C745" s="1" t="n">
        <v>46182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255-2025</t>
        </is>
      </c>
      <c r="B746" s="1" t="n">
        <v>45660.43380787037</v>
      </c>
      <c r="C746" s="1" t="n">
        <v>46182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15635-2026</t>
        </is>
      </c>
      <c r="B747" s="1" t="n">
        <v>46106</v>
      </c>
      <c r="C747" s="1" t="n">
        <v>46182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14173-2022</t>
        </is>
      </c>
      <c r="B748" s="1" t="n">
        <v>44651</v>
      </c>
      <c r="C748" s="1" t="n">
        <v>46182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23447-2025</t>
        </is>
      </c>
      <c r="B749" s="1" t="n">
        <v>45792.39951388889</v>
      </c>
      <c r="C749" s="1" t="n">
        <v>46182</v>
      </c>
      <c r="D749" t="inlineStr">
        <is>
          <t>GÄVLEBORGS LÄN</t>
        </is>
      </c>
      <c r="E749" t="inlineStr">
        <is>
          <t>GÄVLE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24325-2026</t>
        </is>
      </c>
      <c r="B750" s="1" t="n">
        <v>46169.49626157407</v>
      </c>
      <c r="C750" s="1" t="n">
        <v>46182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42876-2023</t>
        </is>
      </c>
      <c r="B751" s="1" t="n">
        <v>45182</v>
      </c>
      <c r="C751" s="1" t="n">
        <v>46182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14165-2026</t>
        </is>
      </c>
      <c r="B752" s="1" t="n">
        <v>46099</v>
      </c>
      <c r="C752" s="1" t="n">
        <v>46182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14966-2026</t>
        </is>
      </c>
      <c r="B753" s="1" t="n">
        <v>46104</v>
      </c>
      <c r="C753" s="1" t="n">
        <v>46182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24295-2026</t>
        </is>
      </c>
      <c r="B754" s="1" t="n">
        <v>46169.43582175926</v>
      </c>
      <c r="C754" s="1" t="n">
        <v>46182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24306-2026</t>
        </is>
      </c>
      <c r="B755" s="1" t="n">
        <v>46169.45545138889</v>
      </c>
      <c r="C755" s="1" t="n">
        <v>46182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24310-2026</t>
        </is>
      </c>
      <c r="B756" s="1" t="n">
        <v>46169.46237268519</v>
      </c>
      <c r="C756" s="1" t="n">
        <v>46182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24400-2026</t>
        </is>
      </c>
      <c r="B757" s="1" t="n">
        <v>46169.65599537037</v>
      </c>
      <c r="C757" s="1" t="n">
        <v>46182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24228-2025</t>
        </is>
      </c>
      <c r="B758" s="1" t="n">
        <v>45797.37373842593</v>
      </c>
      <c r="C758" s="1" t="n">
        <v>46182</v>
      </c>
      <c r="D758" t="inlineStr">
        <is>
          <t>GÄVLEBORGS LÄN</t>
        </is>
      </c>
      <c r="E758" t="inlineStr">
        <is>
          <t>GÄVLE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55878-2024</t>
        </is>
      </c>
      <c r="B759" s="1" t="n">
        <v>45623</v>
      </c>
      <c r="C759" s="1" t="n">
        <v>46182</v>
      </c>
      <c r="D759" t="inlineStr">
        <is>
          <t>GÄVLEBORGS LÄN</t>
        </is>
      </c>
      <c r="E759" t="inlineStr">
        <is>
          <t>GÄVLE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18817-2026</t>
        </is>
      </c>
      <c r="B760" s="1" t="n">
        <v>46128.66010416667</v>
      </c>
      <c r="C760" s="1" t="n">
        <v>46182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18659-2026</t>
        </is>
      </c>
      <c r="B761" s="1" t="n">
        <v>46128</v>
      </c>
      <c r="C761" s="1" t="n">
        <v>46182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17404-2025</t>
        </is>
      </c>
      <c r="B762" s="1" t="n">
        <v>45757.35831018518</v>
      </c>
      <c r="C762" s="1" t="n">
        <v>46182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13492-2026</t>
        </is>
      </c>
      <c r="B763" s="1" t="n">
        <v>46094</v>
      </c>
      <c r="C763" s="1" t="n">
        <v>46182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15558-2026</t>
        </is>
      </c>
      <c r="B764" s="1" t="n">
        <v>46106</v>
      </c>
      <c r="C764" s="1" t="n">
        <v>46182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15568-2026</t>
        </is>
      </c>
      <c r="B765" s="1" t="n">
        <v>46106</v>
      </c>
      <c r="C765" s="1" t="n">
        <v>46182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48913-2024</t>
        </is>
      </c>
      <c r="B766" s="1" t="n">
        <v>45594.36701388889</v>
      </c>
      <c r="C766" s="1" t="n">
        <v>46182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24225-2025</t>
        </is>
      </c>
      <c r="B767" s="1" t="n">
        <v>45797.36991898148</v>
      </c>
      <c r="C767" s="1" t="n">
        <v>46182</v>
      </c>
      <c r="D767" t="inlineStr">
        <is>
          <t>GÄVLEBORGS LÄN</t>
        </is>
      </c>
      <c r="E767" t="inlineStr">
        <is>
          <t>GÄVLE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24669-2026</t>
        </is>
      </c>
      <c r="B768" s="1" t="n">
        <v>46171.44072916666</v>
      </c>
      <c r="C768" s="1" t="n">
        <v>46182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21.4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58373-2024</t>
        </is>
      </c>
      <c r="B769" s="1" t="n">
        <v>45632</v>
      </c>
      <c r="C769" s="1" t="n">
        <v>46182</v>
      </c>
      <c r="D769" t="inlineStr">
        <is>
          <t>GÄVLEBORGS LÄN</t>
        </is>
      </c>
      <c r="E769" t="inlineStr">
        <is>
          <t>GÄVLE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24367-2026</t>
        </is>
      </c>
      <c r="B770" s="1" t="n">
        <v>46169.58908564815</v>
      </c>
      <c r="C770" s="1" t="n">
        <v>46182</v>
      </c>
      <c r="D770" t="inlineStr">
        <is>
          <t>GÄVLEBORGS LÄN</t>
        </is>
      </c>
      <c r="E770" t="inlineStr">
        <is>
          <t>GÄVLE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31367-2024</t>
        </is>
      </c>
      <c r="B771" s="1" t="n">
        <v>45505.38290509259</v>
      </c>
      <c r="C771" s="1" t="n">
        <v>46182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15634-2026</t>
        </is>
      </c>
      <c r="B772" s="1" t="n">
        <v>46106</v>
      </c>
      <c r="C772" s="1" t="n">
        <v>46182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36.3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24294-2026</t>
        </is>
      </c>
      <c r="B773" s="1" t="n">
        <v>46169.43505787037</v>
      </c>
      <c r="C773" s="1" t="n">
        <v>46182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37146-2024</t>
        </is>
      </c>
      <c r="B774" s="1" t="n">
        <v>45539.6021875</v>
      </c>
      <c r="C774" s="1" t="n">
        <v>46182</v>
      </c>
      <c r="D774" t="inlineStr">
        <is>
          <t>GÄVLEBORGS LÄN</t>
        </is>
      </c>
      <c r="E774" t="inlineStr">
        <is>
          <t>GÄVLE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24614-2025</t>
        </is>
      </c>
      <c r="B775" s="1" t="n">
        <v>45798.58292824074</v>
      </c>
      <c r="C775" s="1" t="n">
        <v>46182</v>
      </c>
      <c r="D775" t="inlineStr">
        <is>
          <t>GÄVLEBORGS LÄN</t>
        </is>
      </c>
      <c r="E775" t="inlineStr">
        <is>
          <t>GÄVLE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259-2025</t>
        </is>
      </c>
      <c r="B776" s="1" t="n">
        <v>45660.44798611111</v>
      </c>
      <c r="C776" s="1" t="n">
        <v>46182</v>
      </c>
      <c r="D776" t="inlineStr">
        <is>
          <t>GÄVLEBORGS LÄN</t>
        </is>
      </c>
      <c r="E776" t="inlineStr">
        <is>
          <t>GÄVLE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24456-2026</t>
        </is>
      </c>
      <c r="B777" s="1" t="n">
        <v>46170.37363425926</v>
      </c>
      <c r="C777" s="1" t="n">
        <v>46182</v>
      </c>
      <c r="D777" t="inlineStr">
        <is>
          <t>GÄVLEBORGS LÄN</t>
        </is>
      </c>
      <c r="E777" t="inlineStr">
        <is>
          <t>GÄVLE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24373-2026</t>
        </is>
      </c>
      <c r="B778" s="1" t="n">
        <v>46169.60023148148</v>
      </c>
      <c r="C778" s="1" t="n">
        <v>46182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19635-2026</t>
        </is>
      </c>
      <c r="B779" s="1" t="n">
        <v>46133</v>
      </c>
      <c r="C779" s="1" t="n">
        <v>46182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24172-2026</t>
        </is>
      </c>
      <c r="B780" s="1" t="n">
        <v>46168.57641203704</v>
      </c>
      <c r="C780" s="1" t="n">
        <v>46182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19087-2026</t>
        </is>
      </c>
      <c r="B781" s="1" t="n">
        <v>46132.39863425926</v>
      </c>
      <c r="C781" s="1" t="n">
        <v>46182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24810-2026</t>
        </is>
      </c>
      <c r="B782" s="1" t="n">
        <v>46173.34447916667</v>
      </c>
      <c r="C782" s="1" t="n">
        <v>46182</v>
      </c>
      <c r="D782" t="inlineStr">
        <is>
          <t>GÄVLEBORGS LÄN</t>
        </is>
      </c>
      <c r="E782" t="inlineStr">
        <is>
          <t>GÄVLE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24915-2026</t>
        </is>
      </c>
      <c r="B783" s="1" t="n">
        <v>46174.49376157407</v>
      </c>
      <c r="C783" s="1" t="n">
        <v>46182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20589-2026</t>
        </is>
      </c>
      <c r="B784" s="1" t="n">
        <v>46140.64674768518</v>
      </c>
      <c r="C784" s="1" t="n">
        <v>46182</v>
      </c>
      <c r="D784" t="inlineStr">
        <is>
          <t>GÄVLEBORGS LÄN</t>
        </is>
      </c>
      <c r="E784" t="inlineStr">
        <is>
          <t>GÄVLE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19088-2026</t>
        </is>
      </c>
      <c r="B785" s="1" t="n">
        <v>46132.39920138889</v>
      </c>
      <c r="C785" s="1" t="n">
        <v>46182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19164-2026</t>
        </is>
      </c>
      <c r="B786" s="1" t="n">
        <v>46132.57430555556</v>
      </c>
      <c r="C786" s="1" t="n">
        <v>46182</v>
      </c>
      <c r="D786" t="inlineStr">
        <is>
          <t>GÄVLEBORGS LÄN</t>
        </is>
      </c>
      <c r="E786" t="inlineStr">
        <is>
          <t>GÄVLE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19085-2026</t>
        </is>
      </c>
      <c r="B787" s="1" t="n">
        <v>46132.3978125</v>
      </c>
      <c r="C787" s="1" t="n">
        <v>46182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19185-2026</t>
        </is>
      </c>
      <c r="B788" s="1" t="n">
        <v>46132.5977199074</v>
      </c>
      <c r="C788" s="1" t="n">
        <v>46182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19371-2026</t>
        </is>
      </c>
      <c r="B789" s="1" t="n">
        <v>46133.54528935185</v>
      </c>
      <c r="C789" s="1" t="n">
        <v>46182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19370-2026</t>
        </is>
      </c>
      <c r="B790" s="1" t="n">
        <v>46133.54459490741</v>
      </c>
      <c r="C790" s="1" t="n">
        <v>46182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22342-2026</t>
        </is>
      </c>
      <c r="B791" s="1" t="n">
        <v>46154</v>
      </c>
      <c r="C791" s="1" t="n">
        <v>46182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19122-2026</t>
        </is>
      </c>
      <c r="B792" s="1" t="n">
        <v>46132.47702546296</v>
      </c>
      <c r="C792" s="1" t="n">
        <v>46182</v>
      </c>
      <c r="D792" t="inlineStr">
        <is>
          <t>GÄVLEBORGS LÄN</t>
        </is>
      </c>
      <c r="E792" t="inlineStr">
        <is>
          <t>GÄVLE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13248-2026</t>
        </is>
      </c>
      <c r="B793" s="1" t="n">
        <v>46093</v>
      </c>
      <c r="C793" s="1" t="n">
        <v>46182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19714-2026</t>
        </is>
      </c>
      <c r="B794" s="1" t="n">
        <v>46134.90302083334</v>
      </c>
      <c r="C794" s="1" t="n">
        <v>46182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19715-2026</t>
        </is>
      </c>
      <c r="B795" s="1" t="n">
        <v>46134.90332175926</v>
      </c>
      <c r="C795" s="1" t="n">
        <v>46182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12386-2026</t>
        </is>
      </c>
      <c r="B796" s="1" t="n">
        <v>46090</v>
      </c>
      <c r="C796" s="1" t="n">
        <v>46182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25623-2026</t>
        </is>
      </c>
      <c r="B797" s="1" t="n">
        <v>46177.67853009259</v>
      </c>
      <c r="C797" s="1" t="n">
        <v>46182</v>
      </c>
      <c r="D797" t="inlineStr">
        <is>
          <t>GÄVLEBORGS LÄN</t>
        </is>
      </c>
      <c r="E797" t="inlineStr">
        <is>
          <t>GÄVLE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19713-2026</t>
        </is>
      </c>
      <c r="B798" s="1" t="n">
        <v>46134.90261574074</v>
      </c>
      <c r="C798" s="1" t="n">
        <v>46182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19716-2026</t>
        </is>
      </c>
      <c r="B799" s="1" t="n">
        <v>46134.90364583334</v>
      </c>
      <c r="C799" s="1" t="n">
        <v>46182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19718-2026</t>
        </is>
      </c>
      <c r="B800" s="1" t="n">
        <v>46134.90822916666</v>
      </c>
      <c r="C800" s="1" t="n">
        <v>46182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15176-2026</t>
        </is>
      </c>
      <c r="B801" s="1" t="n">
        <v>46105</v>
      </c>
      <c r="C801" s="1" t="n">
        <v>46182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25582-2026</t>
        </is>
      </c>
      <c r="B802" s="1" t="n">
        <v>46177.63174768518</v>
      </c>
      <c r="C802" s="1" t="n">
        <v>46182</v>
      </c>
      <c r="D802" t="inlineStr">
        <is>
          <t>GÄVLEBORGS LÄN</t>
        </is>
      </c>
      <c r="E802" t="inlineStr">
        <is>
          <t>GÄVLE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15711-2026</t>
        </is>
      </c>
      <c r="B803" s="1" t="n">
        <v>46107</v>
      </c>
      <c r="C803" s="1" t="n">
        <v>46182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25513-2026</t>
        </is>
      </c>
      <c r="B804" s="1" t="n">
        <v>46177.4805324074</v>
      </c>
      <c r="C804" s="1" t="n">
        <v>46182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25357-2026</t>
        </is>
      </c>
      <c r="B805" s="1" t="n">
        <v>46176.61122685186</v>
      </c>
      <c r="C805" s="1" t="n">
        <v>46182</v>
      </c>
      <c r="D805" t="inlineStr">
        <is>
          <t>GÄVLEBORGS LÄN</t>
        </is>
      </c>
      <c r="E805" t="inlineStr">
        <is>
          <t>GÄVLE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25367-2026</t>
        </is>
      </c>
      <c r="B806" s="1" t="n">
        <v>46176.62300925926</v>
      </c>
      <c r="C806" s="1" t="n">
        <v>46182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25384-2026</t>
        </is>
      </c>
      <c r="B807" s="1" t="n">
        <v>46176.67420138889</v>
      </c>
      <c r="C807" s="1" t="n">
        <v>46182</v>
      </c>
      <c r="D807" t="inlineStr">
        <is>
          <t>GÄVLEBORGS LÄN</t>
        </is>
      </c>
      <c r="E807" t="inlineStr">
        <is>
          <t>GÄVLE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19712-2026</t>
        </is>
      </c>
      <c r="B808" s="1" t="n">
        <v>46134.90199074074</v>
      </c>
      <c r="C808" s="1" t="n">
        <v>46182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14365-2026</t>
        </is>
      </c>
      <c r="B809" s="1" t="n">
        <v>46100</v>
      </c>
      <c r="C809" s="1" t="n">
        <v>46182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19372-2026</t>
        </is>
      </c>
      <c r="B810" s="1" t="n">
        <v>46133.54581018518</v>
      </c>
      <c r="C810" s="1" t="n">
        <v>46182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47642-2024</t>
        </is>
      </c>
      <c r="B811" s="1" t="n">
        <v>45588.3656712963</v>
      </c>
      <c r="C811" s="1" t="n">
        <v>46182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15765-2026</t>
        </is>
      </c>
      <c r="B812" s="1" t="n">
        <v>46107</v>
      </c>
      <c r="C812" s="1" t="n">
        <v>46182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25500-2026</t>
        </is>
      </c>
      <c r="B813" s="1" t="n">
        <v>46177.45552083333</v>
      </c>
      <c r="C813" s="1" t="n">
        <v>46182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15469-2026</t>
        </is>
      </c>
      <c r="B814" s="1" t="n">
        <v>46106</v>
      </c>
      <c r="C814" s="1" t="n">
        <v>46182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19711-2026</t>
        </is>
      </c>
      <c r="B815" s="1" t="n">
        <v>46134.90143518519</v>
      </c>
      <c r="C815" s="1" t="n">
        <v>46182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26564-2022</t>
        </is>
      </c>
      <c r="B816" s="1" t="n">
        <v>44739.48752314815</v>
      </c>
      <c r="C816" s="1" t="n">
        <v>46182</v>
      </c>
      <c r="D816" t="inlineStr">
        <is>
          <t>GÄVLEBORGS LÄN</t>
        </is>
      </c>
      <c r="E816" t="inlineStr">
        <is>
          <t>GÄVLE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7441-2025</t>
        </is>
      </c>
      <c r="B817" s="1" t="n">
        <v>45705.40342592593</v>
      </c>
      <c r="C817" s="1" t="n">
        <v>46182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44000-2025</t>
        </is>
      </c>
      <c r="B818" s="1" t="n">
        <v>45915.45304398148</v>
      </c>
      <c r="C818" s="1" t="n">
        <v>46182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15647-2026</t>
        </is>
      </c>
      <c r="B819" s="1" t="n">
        <v>46106</v>
      </c>
      <c r="C819" s="1" t="n">
        <v>46182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15324-2026</t>
        </is>
      </c>
      <c r="B820" s="1" t="n">
        <v>46105</v>
      </c>
      <c r="C820" s="1" t="n">
        <v>46182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497-2026</t>
        </is>
      </c>
      <c r="B821" s="1" t="n">
        <v>46029.43116898148</v>
      </c>
      <c r="C821" s="1" t="n">
        <v>46182</v>
      </c>
      <c r="D821" t="inlineStr">
        <is>
          <t>GÄVLEBORGS LÄN</t>
        </is>
      </c>
      <c r="E821" t="inlineStr">
        <is>
          <t>GÄVLE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25878-2025</t>
        </is>
      </c>
      <c r="B822" s="1" t="n">
        <v>45804.49582175926</v>
      </c>
      <c r="C822" s="1" t="n">
        <v>46182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5908-2025</t>
        </is>
      </c>
      <c r="B823" s="1" t="n">
        <v>45695.40526620371</v>
      </c>
      <c r="C823" s="1" t="n">
        <v>46182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15152-2026</t>
        </is>
      </c>
      <c r="B824" s="1" t="n">
        <v>46105</v>
      </c>
      <c r="C824" s="1" t="n">
        <v>46182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15835-2026</t>
        </is>
      </c>
      <c r="B825" s="1" t="n">
        <v>46107</v>
      </c>
      <c r="C825" s="1" t="n">
        <v>46182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26016-2026</t>
        </is>
      </c>
      <c r="B826" s="1" t="n">
        <v>46181.46418981482</v>
      </c>
      <c r="C826" s="1" t="n">
        <v>46182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4402-2025</t>
        </is>
      </c>
      <c r="B827" s="1" t="n">
        <v>45686</v>
      </c>
      <c r="C827" s="1" t="n">
        <v>46182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50537-2025</t>
        </is>
      </c>
      <c r="B828" s="1" t="n">
        <v>45945.48893518518</v>
      </c>
      <c r="C828" s="1" t="n">
        <v>46182</v>
      </c>
      <c r="D828" t="inlineStr">
        <is>
          <t>GÄVLEBORGS LÄN</t>
        </is>
      </c>
      <c r="E828" t="inlineStr">
        <is>
          <t>GÄVLE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25808-2026</t>
        </is>
      </c>
      <c r="B829" s="1" t="n">
        <v>46178.51096064815</v>
      </c>
      <c r="C829" s="1" t="n">
        <v>46182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15801-2026</t>
        </is>
      </c>
      <c r="B830" s="1" t="n">
        <v>46107</v>
      </c>
      <c r="C830" s="1" t="n">
        <v>46182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13396-2026</t>
        </is>
      </c>
      <c r="B831" s="1" t="n">
        <v>46094</v>
      </c>
      <c r="C831" s="1" t="n">
        <v>46182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14974-2026</t>
        </is>
      </c>
      <c r="B832" s="1" t="n">
        <v>46104.56782407407</v>
      </c>
      <c r="C832" s="1" t="n">
        <v>46182</v>
      </c>
      <c r="D832" t="inlineStr">
        <is>
          <t>GÄVLEBORGS LÄN</t>
        </is>
      </c>
      <c r="E832" t="inlineStr">
        <is>
          <t>GÄVLE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15158-2026</t>
        </is>
      </c>
      <c r="B833" s="1" t="n">
        <v>46105</v>
      </c>
      <c r="C833" s="1" t="n">
        <v>46182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26094-2025</t>
        </is>
      </c>
      <c r="B834" s="1" t="n">
        <v>45805</v>
      </c>
      <c r="C834" s="1" t="n">
        <v>46182</v>
      </c>
      <c r="D834" t="inlineStr">
        <is>
          <t>GÄVLEBORGS LÄN</t>
        </is>
      </c>
      <c r="E834" t="inlineStr">
        <is>
          <t>GÄVLE</t>
        </is>
      </c>
      <c r="G834" t="n">
        <v>12.4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14666-2026</t>
        </is>
      </c>
      <c r="B835" s="1" t="n">
        <v>46101</v>
      </c>
      <c r="C835" s="1" t="n">
        <v>46182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13499-2026</t>
        </is>
      </c>
      <c r="B836" s="1" t="n">
        <v>46094</v>
      </c>
      <c r="C836" s="1" t="n">
        <v>46182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10487-2026</t>
        </is>
      </c>
      <c r="B837" s="1" t="n">
        <v>46077.51802083333</v>
      </c>
      <c r="C837" s="1" t="n">
        <v>46182</v>
      </c>
      <c r="D837" t="inlineStr">
        <is>
          <t>GÄVLEBORGS LÄN</t>
        </is>
      </c>
      <c r="E837" t="inlineStr">
        <is>
          <t>GÄVLE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14703-2026</t>
        </is>
      </c>
      <c r="B838" s="1" t="n">
        <v>46101</v>
      </c>
      <c r="C838" s="1" t="n">
        <v>46182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35916-2025</t>
        </is>
      </c>
      <c r="B839" s="1" t="n">
        <v>45862.5516087963</v>
      </c>
      <c r="C839" s="1" t="n">
        <v>46182</v>
      </c>
      <c r="D839" t="inlineStr">
        <is>
          <t>GÄVLEBORGS LÄN</t>
        </is>
      </c>
      <c r="E839" t="inlineStr">
        <is>
          <t>GÄVLE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1328-2026</t>
        </is>
      </c>
      <c r="B840" s="1" t="n">
        <v>46031</v>
      </c>
      <c r="C840" s="1" t="n">
        <v>46182</v>
      </c>
      <c r="D840" t="inlineStr">
        <is>
          <t>GÄVLEBORGS LÄN</t>
        </is>
      </c>
      <c r="E840" t="inlineStr">
        <is>
          <t>GÄVLE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15101-2025</t>
        </is>
      </c>
      <c r="B841" s="1" t="n">
        <v>45744.34550925926</v>
      </c>
      <c r="C841" s="1" t="n">
        <v>46182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15167-2026</t>
        </is>
      </c>
      <c r="B842" s="1" t="n">
        <v>46105.43706018518</v>
      </c>
      <c r="C842" s="1" t="n">
        <v>46182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42592-2025</t>
        </is>
      </c>
      <c r="B843" s="1" t="n">
        <v>45905.6455787037</v>
      </c>
      <c r="C843" s="1" t="n">
        <v>46182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väst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14730-2026</t>
        </is>
      </c>
      <c r="B844" s="1" t="n">
        <v>46101</v>
      </c>
      <c r="C844" s="1" t="n">
        <v>46182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9378-2025</t>
        </is>
      </c>
      <c r="B845" s="1" t="n">
        <v>45715.34081018518</v>
      </c>
      <c r="C845" s="1" t="n">
        <v>46182</v>
      </c>
      <c r="D845" t="inlineStr">
        <is>
          <t>GÄVLEBORGS LÄN</t>
        </is>
      </c>
      <c r="E845" t="inlineStr">
        <is>
          <t>GÄVLE</t>
        </is>
      </c>
      <c r="F845" t="inlineStr">
        <is>
          <t>Kyrkan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15536-2026</t>
        </is>
      </c>
      <c r="B846" s="1" t="n">
        <v>46106</v>
      </c>
      <c r="C846" s="1" t="n">
        <v>46182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22.4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10521-2026</t>
        </is>
      </c>
      <c r="B847" s="1" t="n">
        <v>46077</v>
      </c>
      <c r="C847" s="1" t="n">
        <v>46182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15799-2026</t>
        </is>
      </c>
      <c r="B848" s="1" t="n">
        <v>46107</v>
      </c>
      <c r="C848" s="1" t="n">
        <v>46182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15092-2026</t>
        </is>
      </c>
      <c r="B849" s="1" t="n">
        <v>46105</v>
      </c>
      <c r="C849" s="1" t="n">
        <v>46182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15105-2025</t>
        </is>
      </c>
      <c r="B850" s="1" t="n">
        <v>45744.34733796296</v>
      </c>
      <c r="C850" s="1" t="n">
        <v>46182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14977-2026</t>
        </is>
      </c>
      <c r="B851" s="1" t="n">
        <v>46104</v>
      </c>
      <c r="C851" s="1" t="n">
        <v>46182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15.8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1096-2026</t>
        </is>
      </c>
      <c r="B852" s="1" t="n">
        <v>46030.66337962963</v>
      </c>
      <c r="C852" s="1" t="n">
        <v>46182</v>
      </c>
      <c r="D852" t="inlineStr">
        <is>
          <t>GÄVLEBORGS LÄN</t>
        </is>
      </c>
      <c r="E852" t="inlineStr">
        <is>
          <t>GÄVLE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9331-2026</t>
        </is>
      </c>
      <c r="B853" s="1" t="n">
        <v>46070.65717592592</v>
      </c>
      <c r="C853" s="1" t="n">
        <v>46182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8568-2026</t>
        </is>
      </c>
      <c r="B854" s="1" t="n">
        <v>46065.67380787037</v>
      </c>
      <c r="C854" s="1" t="n">
        <v>46182</v>
      </c>
      <c r="D854" t="inlineStr">
        <is>
          <t>GÄVLEBORGS LÄN</t>
        </is>
      </c>
      <c r="E854" t="inlineStr">
        <is>
          <t>GÄVLE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15689-2026</t>
        </is>
      </c>
      <c r="B855" s="1" t="n">
        <v>46107</v>
      </c>
      <c r="C855" s="1" t="n">
        <v>46182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15275-2026</t>
        </is>
      </c>
      <c r="B856" s="1" t="n">
        <v>46105</v>
      </c>
      <c r="C856" s="1" t="n">
        <v>46182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14707-2026</t>
        </is>
      </c>
      <c r="B857" s="1" t="n">
        <v>46101</v>
      </c>
      <c r="C857" s="1" t="n">
        <v>46182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28375-2025</t>
        </is>
      </c>
      <c r="B858" s="1" t="n">
        <v>45818</v>
      </c>
      <c r="C858" s="1" t="n">
        <v>46182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11.6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14714-2026</t>
        </is>
      </c>
      <c r="B859" s="1" t="n">
        <v>46101</v>
      </c>
      <c r="C859" s="1" t="n">
        <v>46182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45987-2025</t>
        </is>
      </c>
      <c r="B860" s="1" t="n">
        <v>45924.38379629629</v>
      </c>
      <c r="C860" s="1" t="n">
        <v>46182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9025-2026</t>
        </is>
      </c>
      <c r="B861" s="1" t="n">
        <v>46069.50070601852</v>
      </c>
      <c r="C861" s="1" t="n">
        <v>46182</v>
      </c>
      <c r="D861" t="inlineStr">
        <is>
          <t>GÄVLEBORGS LÄN</t>
        </is>
      </c>
      <c r="E861" t="inlineStr">
        <is>
          <t>GÄVLE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10064-2025</t>
        </is>
      </c>
      <c r="B862" s="1" t="n">
        <v>45719.54072916666</v>
      </c>
      <c r="C862" s="1" t="n">
        <v>46182</v>
      </c>
      <c r="D862" t="inlineStr">
        <is>
          <t>GÄVLEBORGS LÄN</t>
        </is>
      </c>
      <c r="E862" t="inlineStr">
        <is>
          <t>GÄVLE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45965-2024</t>
        </is>
      </c>
      <c r="B863" s="1" t="n">
        <v>45580</v>
      </c>
      <c r="C863" s="1" t="n">
        <v>46182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36512-2025</t>
        </is>
      </c>
      <c r="B864" s="1" t="n">
        <v>45869.57649305555</v>
      </c>
      <c r="C864" s="1" t="n">
        <v>46182</v>
      </c>
      <c r="D864" t="inlineStr">
        <is>
          <t>GÄVLEBORGS LÄN</t>
        </is>
      </c>
      <c r="E864" t="inlineStr">
        <is>
          <t>GÄVLE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819-2026</t>
        </is>
      </c>
      <c r="B865" s="1" t="n">
        <v>46030.35695601852</v>
      </c>
      <c r="C865" s="1" t="n">
        <v>46182</v>
      </c>
      <c r="D865" t="inlineStr">
        <is>
          <t>GÄVLEBORGS LÄN</t>
        </is>
      </c>
      <c r="E865" t="inlineStr">
        <is>
          <t>GÄVLE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14355-2026</t>
        </is>
      </c>
      <c r="B866" s="1" t="n">
        <v>46100</v>
      </c>
      <c r="C866" s="1" t="n">
        <v>46182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7720-2026</t>
        </is>
      </c>
      <c r="B867" s="1" t="n">
        <v>46062.49643518519</v>
      </c>
      <c r="C867" s="1" t="n">
        <v>46182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21966-2025</t>
        </is>
      </c>
      <c r="B868" s="1" t="n">
        <v>45784.62677083333</v>
      </c>
      <c r="C868" s="1" t="n">
        <v>46182</v>
      </c>
      <c r="D868" t="inlineStr">
        <is>
          <t>GÄVLEBORGS LÄN</t>
        </is>
      </c>
      <c r="E868" t="inlineStr">
        <is>
          <t>GÄVLE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1475-2026</t>
        </is>
      </c>
      <c r="B869" s="1" t="n">
        <v>46033</v>
      </c>
      <c r="C869" s="1" t="n">
        <v>46182</v>
      </c>
      <c r="D869" t="inlineStr">
        <is>
          <t>GÄVLEBORGS LÄN</t>
        </is>
      </c>
      <c r="E869" t="inlineStr">
        <is>
          <t>GÄVLE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15456-2026</t>
        </is>
      </c>
      <c r="B870" s="1" t="n">
        <v>46106</v>
      </c>
      <c r="C870" s="1" t="n">
        <v>46182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5912-2025</t>
        </is>
      </c>
      <c r="B871" s="1" t="n">
        <v>45695</v>
      </c>
      <c r="C871" s="1" t="n">
        <v>46182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51211-2025</t>
        </is>
      </c>
      <c r="B872" s="1" t="n">
        <v>45947.64260416666</v>
      </c>
      <c r="C872" s="1" t="n">
        <v>46182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14711-2026</t>
        </is>
      </c>
      <c r="B873" s="1" t="n">
        <v>46101</v>
      </c>
      <c r="C873" s="1" t="n">
        <v>46182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25829-2026</t>
        </is>
      </c>
      <c r="B874" s="1" t="n">
        <v>46178.53975694445</v>
      </c>
      <c r="C874" s="1" t="n">
        <v>46182</v>
      </c>
      <c r="D874" t="inlineStr">
        <is>
          <t>GÄVLEBORGS LÄN</t>
        </is>
      </c>
      <c r="E874" t="inlineStr">
        <is>
          <t>GÄVLE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14701-2026</t>
        </is>
      </c>
      <c r="B875" s="1" t="n">
        <v>46101</v>
      </c>
      <c r="C875" s="1" t="n">
        <v>46182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15724-2026</t>
        </is>
      </c>
      <c r="B876" s="1" t="n">
        <v>46107</v>
      </c>
      <c r="C876" s="1" t="n">
        <v>46182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2026-06-09T09:28:18Z</dcterms:created>
  <dcterms:modified xmlns:dcterms="http://purl.org/dc/terms/" xmlns:xsi="http://www.w3.org/2001/XMLSchema-instance" xsi:type="dcterms:W3CDTF">2026-06-09T09:28:19Z</dcterms:modified>
</cp:coreProperties>
</file>