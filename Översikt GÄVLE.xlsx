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HYPERLINK("https://klasma.github.io/Logging_2180/kartor_geotiff/A 14562-2025 georefererad karta.tif", "A 14562-2025")</f>
        <v/>
      </c>
      <c r="Y2">
        <f>HYPERLINK("https://klasma.github.io/Logging_2180/knärot/A 14562-2025 karta knärot.png", "A 14562-2025")</f>
        <v/>
      </c>
      <c r="Z2">
        <f>HYPERLINK("https://klasma.github.io/Logging_2180/klagomål/A 14562-2025 FSC-klagomål.docx", "A 14562-2025")</f>
        <v/>
      </c>
      <c r="AA2">
        <f>HYPERLINK("https://klasma.github.io/Logging_2180/klagomålsmail/A 14562-2025 FSC-klagomål mail.docx", "A 14562-2025")</f>
        <v/>
      </c>
      <c r="AB2">
        <f>HYPERLINK("https://klasma.github.io/Logging_2180/tillsyn/A 14562-2025 tillsynsbegäran.docx", "A 14562-2025")</f>
        <v/>
      </c>
      <c r="AC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HYPERLINK("https://klasma.github.io/Logging_2180/kartor_geotiff/A 63702-2025 georefererad karta.tif", "A 63702-2025")</f>
        <v/>
      </c>
      <c r="Y3">
        <f>HYPERLINK("https://klasma.github.io/Logging_2180/knärot/A 63702-2025 karta knärot.png", "A 63702-2025")</f>
        <v/>
      </c>
      <c r="Z3">
        <f>HYPERLINK("https://klasma.github.io/Logging_2180/klagomål/A 63702-2025 FSC-klagomål.docx", "A 63702-2025")</f>
        <v/>
      </c>
      <c r="AA3">
        <f>HYPERLINK("https://klasma.github.io/Logging_2180/klagomålsmail/A 63702-2025 FSC-klagomål mail.docx", "A 63702-2025")</f>
        <v/>
      </c>
      <c r="AB3">
        <f>HYPERLINK("https://klasma.github.io/Logging_2180/tillsyn/A 63702-2025 tillsynsbegäran.docx", "A 63702-2025")</f>
        <v/>
      </c>
      <c r="AC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X4">
        <f>HYPERLINK("https://klasma.github.io/Logging_2180/kartor_geotiff/A 54803-2025 georefererad karta.tif", "A 54803-2025")</f>
        <v/>
      </c>
      <c r="Z4">
        <f>HYPERLINK("https://klasma.github.io/Logging_2180/klagomål/A 54803-2025 FSC-klagomål.docx", "A 54803-2025")</f>
        <v/>
      </c>
      <c r="AA4">
        <f>HYPERLINK("https://klasma.github.io/Logging_2180/klagomålsmail/A 54803-2025 FSC-klagomål mail.docx", "A 54803-2025")</f>
        <v/>
      </c>
      <c r="AB4">
        <f>HYPERLINK("https://klasma.github.io/Logging_2180/tillsyn/A 54803-2025 tillsynsbegäran.docx", "A 54803-2025")</f>
        <v/>
      </c>
      <c r="AC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X5">
        <f>HYPERLINK("https://klasma.github.io/Logging_2180/kartor_geotiff/S 515-2022 georefererad karta.tif", "S 515-2022")</f>
        <v/>
      </c>
      <c r="Z5">
        <f>HYPERLINK("https://klasma.github.io/Logging_2180/klagomål/S 515-2022 FSC-klagomål.docx", "S 515-2022")</f>
        <v/>
      </c>
      <c r="AA5">
        <f>HYPERLINK("https://klasma.github.io/Logging_2180/klagomålsmail/S 515-2022 FSC-klagomål mail.docx", "S 515-2022")</f>
        <v/>
      </c>
      <c r="AB5">
        <f>HYPERLINK("https://klasma.github.io/Logging_2180/tillsyn/S 515-2022 tillsynsbegäran.docx", "S 515-2022")</f>
        <v/>
      </c>
      <c r="AC5">
        <f>HYPERLINK("https://klasma.github.io/Logging_2180/tillsynsmail/S 515-2022 tillsynsbegäran mail.docx", "S 515-2022")</f>
        <v/>
      </c>
      <c r="AD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HYPERLINK("https://klasma.github.io/Logging_2180/kartor_geotiff/A 15365-2023 georefererad karta.tif", "A 15365-2023")</f>
        <v/>
      </c>
      <c r="Y6">
        <f>HYPERLINK("https://klasma.github.io/Logging_2180/knärot/A 15365-2023 karta knärot.png", "A 15365-2023")</f>
        <v/>
      </c>
      <c r="Z6">
        <f>HYPERLINK("https://klasma.github.io/Logging_2180/klagomål/A 15365-2023 FSC-klagomål.docx", "A 15365-2023")</f>
        <v/>
      </c>
      <c r="AA6">
        <f>HYPERLINK("https://klasma.github.io/Logging_2180/klagomålsmail/A 15365-2023 FSC-klagomål mail.docx", "A 15365-2023")</f>
        <v/>
      </c>
      <c r="AB6">
        <f>HYPERLINK("https://klasma.github.io/Logging_2180/tillsyn/A 15365-2023 tillsynsbegäran.docx", "A 15365-2023")</f>
        <v/>
      </c>
      <c r="AC6">
        <f>HYPERLINK("https://klasma.github.io/Logging_2180/tillsynsmail/A 15365-2023 tillsynsbegäran mail.docx", "A 15365-2023")</f>
        <v/>
      </c>
      <c r="AD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46223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X7">
        <f>HYPERLINK("https://klasma.github.io/Logging_2180/kartor_geotiff/A 11088-2026 georefererad karta.tif", "A 11088-2026")</f>
        <v/>
      </c>
      <c r="Z7">
        <f>HYPERLINK("https://klasma.github.io/Logging_2180/klagomål/A 11088-2026 FSC-klagomål.docx", "A 11088-2026")</f>
        <v/>
      </c>
      <c r="AA7">
        <f>HYPERLINK("https://klasma.github.io/Logging_2180/klagomålsmail/A 11088-2026 FSC-klagomål mail.docx", "A 11088-2026")</f>
        <v/>
      </c>
      <c r="AB7">
        <f>HYPERLINK("https://klasma.github.io/Logging_2180/tillsyn/A 11088-2026 tillsynsbegäran.docx", "A 11088-2026")</f>
        <v/>
      </c>
      <c r="AC7">
        <f>HYPERLINK("https://klasma.github.io/Logging_2180/tillsynsmail/A 11088-2026 tillsynsbegäran mail.docx", "A 11088-2026")</f>
        <v/>
      </c>
      <c r="AD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46223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X8">
        <f>HYPERLINK("https://klasma.github.io/Logging_2180/kartor_geotiff/A 19899-2026 georefererad karta.tif", "A 19899-2026")</f>
        <v/>
      </c>
      <c r="Z8">
        <f>HYPERLINK("https://klasma.github.io/Logging_2180/klagomål/A 19899-2026 FSC-klagomål.docx", "A 19899-2026")</f>
        <v/>
      </c>
      <c r="AA8">
        <f>HYPERLINK("https://klasma.github.io/Logging_2180/klagomålsmail/A 19899-2026 FSC-klagomål mail.docx", "A 19899-2026")</f>
        <v/>
      </c>
      <c r="AB8">
        <f>HYPERLINK("https://klasma.github.io/Logging_2180/tillsyn/A 19899-2026 tillsynsbegäran.docx", "A 19899-2026")</f>
        <v/>
      </c>
      <c r="AC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X9">
        <f>HYPERLINK("https://klasma.github.io/Logging_2180/kartor_geotiff/A 11233-2025 georefererad karta.tif", "A 11233-2025")</f>
        <v/>
      </c>
      <c r="Z9">
        <f>HYPERLINK("https://klasma.github.io/Logging_2180/klagomål/A 11233-2025 FSC-klagomål.docx", "A 11233-2025")</f>
        <v/>
      </c>
      <c r="AA9">
        <f>HYPERLINK("https://klasma.github.io/Logging_2180/klagomålsmail/A 11233-2025 FSC-klagomål mail.docx", "A 11233-2025")</f>
        <v/>
      </c>
      <c r="AB9">
        <f>HYPERLINK("https://klasma.github.io/Logging_2180/tillsyn/A 11233-2025 tillsynsbegäran.docx", "A 11233-2025")</f>
        <v/>
      </c>
      <c r="AC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s="2" t="inlineStr">
        <is>
          <t>Gyllenfingersvamp
Bredgentiana
Flattoppad klubbsvamp
Kryddspindling
Rutskinn
Sårläka
Vårärt
Underviol</t>
        </is>
      </c>
      <c r="V10">
        <f>HYPERLINK("https://klasma.github.io/Logging_2180/artfynd/A 55773-2024 artfynd.xlsx", "A 55773-2024")</f>
        <v/>
      </c>
      <c r="W10">
        <f>HYPERLINK("https://klasma.github.io/Logging_2180/kartor/A 55773-2024 karta.png", "A 55773-2024")</f>
        <v/>
      </c>
      <c r="X10">
        <f>HYPERLINK("https://klasma.github.io/Logging_2180/kartor_geotiff/A 55773-2024 georefererad karta.tif", "A 55773-2024")</f>
        <v/>
      </c>
      <c r="Z10">
        <f>HYPERLINK("https://klasma.github.io/Logging_2180/klagomål/A 55773-2024 FSC-klagomål.docx", "A 55773-2024")</f>
        <v/>
      </c>
      <c r="AA10">
        <f>HYPERLINK("https://klasma.github.io/Logging_2180/klagomålsmail/A 55773-2024 FSC-klagomål mail.docx", "A 55773-2024")</f>
        <v/>
      </c>
      <c r="AB10">
        <f>HYPERLINK("https://klasma.github.io/Logging_2180/tillsyn/A 55773-2024 tillsynsbegäran.docx", "A 55773-2024")</f>
        <v/>
      </c>
      <c r="AC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46223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s="2" t="inlineStr">
        <is>
          <t>Bredbrämad bastardsvärmare
Mindre bastardsvärmare
Ängsblåvinge
Majviva
Storfläckig kungsnattslända
Slaguggla
Gullviva</t>
        </is>
      </c>
      <c r="V11">
        <f>HYPERLINK("https://klasma.github.io/Logging_2180/artfynd/A 6073-2026 artfynd.xlsx", "A 6073-2026")</f>
        <v/>
      </c>
      <c r="W11">
        <f>HYPERLINK("https://klasma.github.io/Logging_2180/kartor/A 6073-2026 karta.png", "A 6073-2026")</f>
        <v/>
      </c>
      <c r="X11">
        <f>HYPERLINK("https://klasma.github.io/Logging_2180/kartor_geotiff/A 6073-2026 georefererad karta.tif", "A 6073-2026")</f>
        <v/>
      </c>
      <c r="Z11">
        <f>HYPERLINK("https://klasma.github.io/Logging_2180/klagomål/A 6073-2026 FSC-klagomål.docx", "A 6073-2026")</f>
        <v/>
      </c>
      <c r="AA11">
        <f>HYPERLINK("https://klasma.github.io/Logging_2180/klagomålsmail/A 6073-2026 FSC-klagomål mail.docx", "A 6073-2026")</f>
        <v/>
      </c>
      <c r="AB11">
        <f>HYPERLINK("https://klasma.github.io/Logging_2180/tillsyn/A 6073-2026 tillsynsbegäran.docx", "A 6073-2026")</f>
        <v/>
      </c>
      <c r="AC11">
        <f>HYPERLINK("https://klasma.github.io/Logging_2180/tillsynsmail/A 6073-2026 tillsynsbegäran mail.docx", "A 6073-2026")</f>
        <v/>
      </c>
      <c r="AD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46223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s="2" t="inlineStr">
        <is>
          <t>Sårläka
Nästrot
Skogsknipprot
Tibast
Tvåblad
Blåsippa
Gullviva</t>
        </is>
      </c>
      <c r="V12">
        <f>HYPERLINK("https://klasma.github.io/Logging_2180/artfynd/A 33904-2025 artfynd.xlsx", "A 33904-2025")</f>
        <v/>
      </c>
      <c r="W12">
        <f>HYPERLINK("https://klasma.github.io/Logging_2180/kartor/A 33904-2025 karta.png", "A 33904-2025")</f>
        <v/>
      </c>
      <c r="X12">
        <f>HYPERLINK("https://klasma.github.io/Logging_2180/kartor_geotiff/A 33904-2025 georefererad karta.tif", "A 33904-2025")</f>
        <v/>
      </c>
      <c r="Z12">
        <f>HYPERLINK("https://klasma.github.io/Logging_2180/klagomål/A 33904-2025 FSC-klagomål.docx", "A 33904-2025")</f>
        <v/>
      </c>
      <c r="AA12">
        <f>HYPERLINK("https://klasma.github.io/Logging_2180/klagomålsmail/A 33904-2025 FSC-klagomål mail.docx", "A 33904-2025")</f>
        <v/>
      </c>
      <c r="AB12">
        <f>HYPERLINK("https://klasma.github.io/Logging_2180/tillsyn/A 33904-2025 tillsynsbegäran.docx", "A 33904-2025")</f>
        <v/>
      </c>
      <c r="AC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46223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s="2" t="inlineStr">
        <is>
          <t>Rosenticka
Rynkskinn
Ullticka
Järpe
Spillkråka
Tjäder
Fläcknycklar</t>
        </is>
      </c>
      <c r="V13">
        <f>HYPERLINK("https://klasma.github.io/Logging_2180/artfynd/A 48800-2024 artfynd.xlsx", "A 48800-2024")</f>
        <v/>
      </c>
      <c r="W13">
        <f>HYPERLINK("https://klasma.github.io/Logging_2180/kartor/A 48800-2024 karta.png", "A 48800-2024")</f>
        <v/>
      </c>
      <c r="X13">
        <f>HYPERLINK("https://klasma.github.io/Logging_2180/kartor_geotiff/A 48800-2024 georefererad karta.tif", "A 48800-2024")</f>
        <v/>
      </c>
      <c r="Z13">
        <f>HYPERLINK("https://klasma.github.io/Logging_2180/klagomål/A 48800-2024 FSC-klagomål.docx", "A 48800-2024")</f>
        <v/>
      </c>
      <c r="AA13">
        <f>HYPERLINK("https://klasma.github.io/Logging_2180/klagomålsmail/A 48800-2024 FSC-klagomål mail.docx", "A 48800-2024")</f>
        <v/>
      </c>
      <c r="AB13">
        <f>HYPERLINK("https://klasma.github.io/Logging_2180/tillsyn/A 48800-2024 tillsynsbegäran.docx", "A 48800-2024")</f>
        <v/>
      </c>
      <c r="AC13">
        <f>HYPERLINK("https://klasma.github.io/Logging_2180/tillsynsmail/A 48800-2024 tillsynsbegäran mail.docx", "A 48800-2024")</f>
        <v/>
      </c>
      <c r="AD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s="2" t="inlineStr">
        <is>
          <t>Tandsnäcka
Väddnätfjäril
Kalkkärrsgrynsnäcka
Skogsklocka
Tvåblad
Vanliga ängsnycklar</t>
        </is>
      </c>
      <c r="V14">
        <f>HYPERLINK("https://klasma.github.io/Logging_2180/artfynd/A 29661-2025 artfynd.xlsx", "A 29661-2025")</f>
        <v/>
      </c>
      <c r="W14">
        <f>HYPERLINK("https://klasma.github.io/Logging_2180/kartor/A 29661-2025 karta.png", "A 29661-2025")</f>
        <v/>
      </c>
      <c r="X14">
        <f>HYPERLINK("https://klasma.github.io/Logging_2180/kartor_geotiff/A 29661-2025 georefererad karta.tif", "A 29661-2025")</f>
        <v/>
      </c>
      <c r="Z14">
        <f>HYPERLINK("https://klasma.github.io/Logging_2180/klagomål/A 29661-2025 FSC-klagomål.docx", "A 29661-2025")</f>
        <v/>
      </c>
      <c r="AA14">
        <f>HYPERLINK("https://klasma.github.io/Logging_2180/klagomålsmail/A 29661-2025 FSC-klagomål mail.docx", "A 29661-2025")</f>
        <v/>
      </c>
      <c r="AB14">
        <f>HYPERLINK("https://klasma.github.io/Logging_2180/tillsyn/A 29661-2025 tillsynsbegäran.docx", "A 29661-2025")</f>
        <v/>
      </c>
      <c r="AC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s="2" t="inlineStr">
        <is>
          <t>Blanksvart spiklav
Dropptaggsvamp
Svartvit taggsvamp
Vedskivlav
Vedtrappmossa
Vattenfladdermus</t>
        </is>
      </c>
      <c r="V15">
        <f>HYPERLINK("https://klasma.github.io/Logging_2180/artfynd/A 1101-2024 artfynd.xlsx", "A 1101-2024")</f>
        <v/>
      </c>
      <c r="W15">
        <f>HYPERLINK("https://klasma.github.io/Logging_2180/kartor/A 1101-2024 karta.png", "A 1101-2024")</f>
        <v/>
      </c>
      <c r="X15">
        <f>HYPERLINK("https://klasma.github.io/Logging_2180/kartor_geotiff/A 1101-2024 georefererad karta.tif", "A 1101-2024")</f>
        <v/>
      </c>
      <c r="Z15">
        <f>HYPERLINK("https://klasma.github.io/Logging_2180/klagomål/A 1101-2024 FSC-klagomål.docx", "A 1101-2024")</f>
        <v/>
      </c>
      <c r="AA15">
        <f>HYPERLINK("https://klasma.github.io/Logging_2180/klagomålsmail/A 1101-2024 FSC-klagomål mail.docx", "A 1101-2024")</f>
        <v/>
      </c>
      <c r="AB15">
        <f>HYPERLINK("https://klasma.github.io/Logging_2180/tillsyn/A 1101-2024 tillsynsbegäran.docx", "A 1101-2024")</f>
        <v/>
      </c>
      <c r="AC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46223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Strandlummer
Skogsknipprot
Blåsippa
Tjäder
Kopparödla
Gullviva</t>
        </is>
      </c>
      <c r="V16">
        <f>HYPERLINK("https://klasma.github.io/Logging_2180/artfynd/S 3257-2025 artfynd.xlsx", "S 3257-2025")</f>
        <v/>
      </c>
      <c r="W16">
        <f>HYPERLINK("https://klasma.github.io/Logging_2180/kartor/S 3257-2025 karta.png", "S 3257-2025")</f>
        <v/>
      </c>
      <c r="X16">
        <f>HYPERLINK("https://klasma.github.io/Logging_2180/kartor_geotiff/S 3257-2025 georefererad karta.tif", "S 3257-2025")</f>
        <v/>
      </c>
      <c r="Z16">
        <f>HYPERLINK("https://klasma.github.io/Logging_2180/klagomål/S 3257-2025 FSC-klagomål.docx", "S 3257-2025")</f>
        <v/>
      </c>
      <c r="AA16">
        <f>HYPERLINK("https://klasma.github.io/Logging_2180/klagomålsmail/S 3257-2025 FSC-klagomål mail.docx", "S 3257-2025")</f>
        <v/>
      </c>
      <c r="AB16">
        <f>HYPERLINK("https://klasma.github.io/Logging_2180/tillsyn/S 3257-2025 tillsynsbegäran.docx", "S 3257-2025")</f>
        <v/>
      </c>
      <c r="AC16">
        <f>HYPERLINK("https://klasma.github.io/Logging_2180/tillsynsmail/S 3257-2025 tillsynsbegäran mail.docx", "S 3257-2025")</f>
        <v/>
      </c>
      <c r="AD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46223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s="2" t="inlineStr">
        <is>
          <t>Garnlav
Knärot
Kattfotslav
Guldlockmossa
Korallblylav</t>
        </is>
      </c>
      <c r="V17">
        <f>HYPERLINK("https://klasma.github.io/Logging_2180/artfynd/A 14564-2025 artfynd.xlsx", "A 14564-2025")</f>
        <v/>
      </c>
      <c r="W17">
        <f>HYPERLINK("https://klasma.github.io/Logging_2180/kartor/A 14564-2025 karta.png", "A 14564-2025")</f>
        <v/>
      </c>
      <c r="X17">
        <f>HYPERLINK("https://klasma.github.io/Logging_2180/kartor_geotiff/A 14564-2025 georefererad karta.tif", "A 14564-2025")</f>
        <v/>
      </c>
      <c r="Y17">
        <f>HYPERLINK("https://klasma.github.io/Logging_2180/knärot/A 14564-2025 karta knärot.png", "A 14564-2025")</f>
        <v/>
      </c>
      <c r="Z17">
        <f>HYPERLINK("https://klasma.github.io/Logging_2180/klagomål/A 14564-2025 FSC-klagomål.docx", "A 14564-2025")</f>
        <v/>
      </c>
      <c r="AA17">
        <f>HYPERLINK("https://klasma.github.io/Logging_2180/klagomålsmail/A 14564-2025 FSC-klagomål mail.docx", "A 14564-2025")</f>
        <v/>
      </c>
      <c r="AB17">
        <f>HYPERLINK("https://klasma.github.io/Logging_2180/tillsyn/A 14564-2025 tillsynsbegäran.docx", "A 14564-2025")</f>
        <v/>
      </c>
      <c r="AC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46223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Järnsparv
Nordfladdermus
Kungsfågel
Vattenfladdermus</t>
        </is>
      </c>
      <c r="V18">
        <f>HYPERLINK("https://klasma.github.io/Logging_2180/artfynd/A 29840-2023 artfynd.xlsx", "A 29840-2023")</f>
        <v/>
      </c>
      <c r="W18">
        <f>HYPERLINK("https://klasma.github.io/Logging_2180/kartor/A 29840-2023 karta.png", "A 29840-2023")</f>
        <v/>
      </c>
      <c r="X18">
        <f>HYPERLINK("https://klasma.github.io/Logging_2180/kartor_geotiff/A 29840-2023 georefererad karta.tif", "A 29840-2023")</f>
        <v/>
      </c>
      <c r="Z18">
        <f>HYPERLINK("https://klasma.github.io/Logging_2180/klagomål/A 29840-2023 FSC-klagomål.docx", "A 29840-2023")</f>
        <v/>
      </c>
      <c r="AA18">
        <f>HYPERLINK("https://klasma.github.io/Logging_2180/klagomålsmail/A 29840-2023 FSC-klagomål mail.docx", "A 29840-2023")</f>
        <v/>
      </c>
      <c r="AB18">
        <f>HYPERLINK("https://klasma.github.io/Logging_2180/tillsyn/A 29840-2023 tillsynsbegäran.docx", "A 29840-2023")</f>
        <v/>
      </c>
      <c r="AC18">
        <f>HYPERLINK("https://klasma.github.io/Logging_2180/tillsynsmail/A 29840-2023 tillsynsbegäran mail.docx", "A 29840-2023")</f>
        <v/>
      </c>
      <c r="AD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46223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46744-2025 artfynd.xlsx", "A 46744-2025")</f>
        <v/>
      </c>
      <c r="W19">
        <f>HYPERLINK("https://klasma.github.io/Logging_2180/kartor/A 46744-2025 karta.png", "A 46744-2025")</f>
        <v/>
      </c>
      <c r="X19">
        <f>HYPERLINK("https://klasma.github.io/Logging_2180/kartor_geotiff/A 46744-2025 georefererad karta.tif", "A 46744-2025")</f>
        <v/>
      </c>
      <c r="Y19">
        <f>HYPERLINK("https://klasma.github.io/Logging_2180/knärot/A 46744-2025 karta knärot.png", "A 46744-2025")</f>
        <v/>
      </c>
      <c r="Z19">
        <f>HYPERLINK("https://klasma.github.io/Logging_2180/klagomål/A 46744-2025 FSC-klagomål.docx", "A 46744-2025")</f>
        <v/>
      </c>
      <c r="AA19">
        <f>HYPERLINK("https://klasma.github.io/Logging_2180/klagomålsmail/A 46744-2025 FSC-klagomål mail.docx", "A 46744-2025")</f>
        <v/>
      </c>
      <c r="AB19">
        <f>HYPERLINK("https://klasma.github.io/Logging_2180/tillsyn/A 46744-2025 tillsynsbegäran.docx", "A 46744-2025")</f>
        <v/>
      </c>
      <c r="AC19">
        <f>HYPERLINK("https://klasma.github.io/Logging_2180/tillsynsmail/A 46744-2025 tillsynsbegäran mail.docx", "A 46744-2025")</f>
        <v/>
      </c>
      <c r="AD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46223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s="2" t="inlineStr">
        <is>
          <t>Knärot
Rödgul trumpetsvamp
Svavelriska
Blåsippa
Spillkråka</t>
        </is>
      </c>
      <c r="V20">
        <f>HYPERLINK("https://klasma.github.io/Logging_2180/artfynd/A 46755-2025 artfynd.xlsx", "A 46755-2025")</f>
        <v/>
      </c>
      <c r="W20">
        <f>HYPERLINK("https://klasma.github.io/Logging_2180/kartor/A 46755-2025 karta.png", "A 46755-2025")</f>
        <v/>
      </c>
      <c r="X20">
        <f>HYPERLINK("https://klasma.github.io/Logging_2180/kartor_geotiff/A 46755-2025 georefererad karta.tif", "A 46755-2025")</f>
        <v/>
      </c>
      <c r="Y20">
        <f>HYPERLINK("https://klasma.github.io/Logging_2180/knärot/A 46755-2025 karta knärot.png", "A 46755-2025")</f>
        <v/>
      </c>
      <c r="Z20">
        <f>HYPERLINK("https://klasma.github.io/Logging_2180/klagomål/A 46755-2025 FSC-klagomål.docx", "A 46755-2025")</f>
        <v/>
      </c>
      <c r="AA20">
        <f>HYPERLINK("https://klasma.github.io/Logging_2180/klagomålsmail/A 46755-2025 FSC-klagomål mail.docx", "A 46755-2025")</f>
        <v/>
      </c>
      <c r="AB20">
        <f>HYPERLINK("https://klasma.github.io/Logging_2180/tillsyn/A 46755-2025 tillsynsbegäran.docx", "A 46755-2025")</f>
        <v/>
      </c>
      <c r="AC20">
        <f>HYPERLINK("https://klasma.github.io/Logging_2180/tillsynsmail/A 46755-2025 tillsynsbegäran mail.docx", "A 46755-2025")</f>
        <v/>
      </c>
      <c r="AD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46223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s="2" t="inlineStr">
        <is>
          <t>Knärot
Rödgul trumpetsvamp
Svavelriska
Blåsippa
Spillkråka</t>
        </is>
      </c>
      <c r="V21">
        <f>HYPERLINK("https://klasma.github.io/Logging_2180/artfynd/A 34666-2025 artfynd.xlsx", "A 34666-2025")</f>
        <v/>
      </c>
      <c r="W21">
        <f>HYPERLINK("https://klasma.github.io/Logging_2180/kartor/A 34666-2025 karta.png", "A 34666-2025")</f>
        <v/>
      </c>
      <c r="X21">
        <f>HYPERLINK("https://klasma.github.io/Logging_2180/kartor_geotiff/A 34666-2025 georefererad karta.tif", "A 34666-2025")</f>
        <v/>
      </c>
      <c r="Y21">
        <f>HYPERLINK("https://klasma.github.io/Logging_2180/knärot/A 34666-2025 karta knärot.png", "A 34666-2025")</f>
        <v/>
      </c>
      <c r="Z21">
        <f>HYPERLINK("https://klasma.github.io/Logging_2180/klagomål/A 34666-2025 FSC-klagomål.docx", "A 34666-2025")</f>
        <v/>
      </c>
      <c r="AA21">
        <f>HYPERLINK("https://klasma.github.io/Logging_2180/klagomålsmail/A 34666-2025 FSC-klagomål mail.docx", "A 34666-2025")</f>
        <v/>
      </c>
      <c r="AB21">
        <f>HYPERLINK("https://klasma.github.io/Logging_2180/tillsyn/A 34666-2025 tillsynsbegäran.docx", "A 34666-2025")</f>
        <v/>
      </c>
      <c r="AC21">
        <f>HYPERLINK("https://klasma.github.io/Logging_2180/tillsynsmail/A 34666-2025 tillsynsbegäran mail.docx", "A 34666-2025")</f>
        <v/>
      </c>
      <c r="AD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s="2" t="inlineStr">
        <is>
          <t>Vedtrappmossa
Bronshjon
Svavelriska
Tibast
Blåsippa</t>
        </is>
      </c>
      <c r="V22">
        <f>HYPERLINK("https://klasma.github.io/Logging_2180/artfynd/S 194-2024 artfynd.xlsx", "S 194-2024")</f>
        <v/>
      </c>
      <c r="W22">
        <f>HYPERLINK("https://klasma.github.io/Logging_2180/kartor/S 194-2024 karta.png", "S 194-2024")</f>
        <v/>
      </c>
      <c r="X22">
        <f>HYPERLINK("https://klasma.github.io/Logging_2180/kartor_geotiff/S 194-2024 georefererad karta.tif", "S 194-2024")</f>
        <v/>
      </c>
      <c r="Z22">
        <f>HYPERLINK("https://klasma.github.io/Logging_2180/klagomål/S 194-2024 FSC-klagomål.docx", "S 194-2024")</f>
        <v/>
      </c>
      <c r="AA22">
        <f>HYPERLINK("https://klasma.github.io/Logging_2180/klagomålsmail/S 194-2024 FSC-klagomål mail.docx", "S 194-2024")</f>
        <v/>
      </c>
      <c r="AB22">
        <f>HYPERLINK("https://klasma.github.io/Logging_2180/tillsyn/S 194-2024 tillsynsbegäran.docx", "S 194-2024")</f>
        <v/>
      </c>
      <c r="AC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s="2" t="inlineStr">
        <is>
          <t>Brunklöver
Vedskivlav
Tjäder
Havsörn
Mindre vattensalamander</t>
        </is>
      </c>
      <c r="V23">
        <f>HYPERLINK("https://klasma.github.io/Logging_2180/artfynd/S 5062-2024 artfynd.xlsx", "S 5062-2024")</f>
        <v/>
      </c>
      <c r="W23">
        <f>HYPERLINK("https://klasma.github.io/Logging_2180/kartor/S 5062-2024 karta.png", "S 5062-2024")</f>
        <v/>
      </c>
      <c r="X23">
        <f>HYPERLINK("https://klasma.github.io/Logging_2180/kartor_geotiff/S 5062-2024 georefererad karta.tif", "S 5062-2024")</f>
        <v/>
      </c>
      <c r="Z23">
        <f>HYPERLINK("https://klasma.github.io/Logging_2180/klagomål/S 5062-2024 FSC-klagomål.docx", "S 5062-2024")</f>
        <v/>
      </c>
      <c r="AA23">
        <f>HYPERLINK("https://klasma.github.io/Logging_2180/klagomålsmail/S 5062-2024 FSC-klagomål mail.docx", "S 5062-2024")</f>
        <v/>
      </c>
      <c r="AB23">
        <f>HYPERLINK("https://klasma.github.io/Logging_2180/tillsyn/S 5062-2024 tillsynsbegäran.docx", "S 5062-2024")</f>
        <v/>
      </c>
      <c r="AC23">
        <f>HYPERLINK("https://klasma.github.io/Logging_2180/tillsynsmail/S 5062-2024 tillsynsbegäran mail.docx", "S 5062-2024")</f>
        <v/>
      </c>
      <c r="AD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s="2" t="inlineStr">
        <is>
          <t>Blåsfliksmossa
Grov baronmossa
Guldlockmossa
Fläcknycklar
Nattviol</t>
        </is>
      </c>
      <c r="V24">
        <f>HYPERLINK("https://klasma.github.io/Logging_2180/artfynd/S 4511-2023 artfynd.xlsx", "S 4511-2023")</f>
        <v/>
      </c>
      <c r="W24">
        <f>HYPERLINK("https://klasma.github.io/Logging_2180/kartor/S 4511-2023 karta.png", "S 4511-2023")</f>
        <v/>
      </c>
      <c r="X24">
        <f>HYPERLINK("https://klasma.github.io/Logging_2180/kartor_geotiff/S 4511-2023 georefererad karta.tif", "S 4511-2023")</f>
        <v/>
      </c>
      <c r="Z24">
        <f>HYPERLINK("https://klasma.github.io/Logging_2180/klagomål/S 4511-2023 FSC-klagomål.docx", "S 4511-2023")</f>
        <v/>
      </c>
      <c r="AA24">
        <f>HYPERLINK("https://klasma.github.io/Logging_2180/klagomålsmail/S 4511-2023 FSC-klagomål mail.docx", "S 4511-2023")</f>
        <v/>
      </c>
      <c r="AB24">
        <f>HYPERLINK("https://klasma.github.io/Logging_2180/tillsyn/S 4511-2023 tillsynsbegäran.docx", "S 4511-2023")</f>
        <v/>
      </c>
      <c r="AC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X25">
        <f>HYPERLINK("https://klasma.github.io/Logging_2180/kartor_geotiff/S 645-2026 georefererad karta.tif", "S 645-2026")</f>
        <v/>
      </c>
      <c r="Z25">
        <f>HYPERLINK("https://klasma.github.io/Logging_2180/klagomål/S 645-2026 FSC-klagomål.docx", "S 645-2026")</f>
        <v/>
      </c>
      <c r="AA25">
        <f>HYPERLINK("https://klasma.github.io/Logging_2180/klagomålsmail/S 645-2026 FSC-klagomål mail.docx", "S 645-2026")</f>
        <v/>
      </c>
      <c r="AB25">
        <f>HYPERLINK("https://klasma.github.io/Logging_2180/tillsyn/S 645-2026 tillsynsbegäran.docx", "S 645-2026")</f>
        <v/>
      </c>
      <c r="AC25">
        <f>HYPERLINK("https://klasma.github.io/Logging_2180/tillsynsmail/S 645-2026 tillsynsbegäran mail.docx", "S 645-2026")</f>
        <v/>
      </c>
      <c r="AD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46223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Trastsångare
Enkelbeckasin
Buskskvätta
Trana</t>
        </is>
      </c>
      <c r="V26">
        <f>HYPERLINK("https://klasma.github.io/Logging_2180/artfynd/A 3193-2026 artfynd.xlsx", "A 3193-2026")</f>
        <v/>
      </c>
      <c r="W26">
        <f>HYPERLINK("https://klasma.github.io/Logging_2180/kartor/A 3193-2026 karta.png", "A 3193-2026")</f>
        <v/>
      </c>
      <c r="X26">
        <f>HYPERLINK("https://klasma.github.io/Logging_2180/kartor_geotiff/A 3193-2026 georefererad karta.tif", "A 3193-2026")</f>
        <v/>
      </c>
      <c r="Z26">
        <f>HYPERLINK("https://klasma.github.io/Logging_2180/klagomål/A 3193-2026 FSC-klagomål.docx", "A 3193-2026")</f>
        <v/>
      </c>
      <c r="AA26">
        <f>HYPERLINK("https://klasma.github.io/Logging_2180/klagomålsmail/A 3193-2026 FSC-klagomål mail.docx", "A 3193-2026")</f>
        <v/>
      </c>
      <c r="AB26">
        <f>HYPERLINK("https://klasma.github.io/Logging_2180/tillsyn/A 3193-2026 tillsynsbegäran.docx", "A 3193-2026")</f>
        <v/>
      </c>
      <c r="AC26">
        <f>HYPERLINK("https://klasma.github.io/Logging_2180/tillsynsmail/A 3193-2026 tillsynsbegäran mail.docx", "A 3193-2026")</f>
        <v/>
      </c>
      <c r="AD26">
        <f>HYPERLINK("https://klasma.github.io/Logging_2180/fåglar/A 3193-2026 prioriterade fågelarter.docx", "A 3193-2026")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46223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s="2" t="inlineStr">
        <is>
          <t>Pärluggla
Enkelbeckasin
Rödvingetrast
Nattskärra</t>
        </is>
      </c>
      <c r="V27">
        <f>HYPERLINK("https://klasma.github.io/Logging_2180/artfynd/A 5487-2025 artfynd.xlsx", "A 5487-2025")</f>
        <v/>
      </c>
      <c r="W27">
        <f>HYPERLINK("https://klasma.github.io/Logging_2180/kartor/A 5487-2025 karta.png", "A 5487-2025")</f>
        <v/>
      </c>
      <c r="X27">
        <f>HYPERLINK("https://klasma.github.io/Logging_2180/kartor_geotiff/A 5487-2025 georefererad karta.tif", "A 5487-2025")</f>
        <v/>
      </c>
      <c r="Z27">
        <f>HYPERLINK("https://klasma.github.io/Logging_2180/klagomål/A 5487-2025 FSC-klagomål.docx", "A 5487-2025")</f>
        <v/>
      </c>
      <c r="AA27">
        <f>HYPERLINK("https://klasma.github.io/Logging_2180/klagomålsmail/A 5487-2025 FSC-klagomål mail.docx", "A 5487-2025")</f>
        <v/>
      </c>
      <c r="AB27">
        <f>HYPERLINK("https://klasma.github.io/Logging_2180/tillsyn/A 5487-2025 tillsynsbegäran.docx", "A 5487-2025")</f>
        <v/>
      </c>
      <c r="AC27">
        <f>HYPERLINK("https://klasma.github.io/Logging_2180/tillsynsmail/A 5487-2025 tillsynsbegäran mail.docx", "A 5487-2025")</f>
        <v/>
      </c>
      <c r="AD27">
        <f>HYPERLINK("https://klasma.github.io/Logging_2180/fåglar/A 5487-2025 prioriterade fågelarter.docx", "A 5487-2025")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46223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s="2" t="inlineStr">
        <is>
          <t>Kolflarnlav
Reliktbock
Vedflamlav
Vedskivlav</t>
        </is>
      </c>
      <c r="V28">
        <f>HYPERLINK("https://klasma.github.io/Logging_2180/artfynd/A 41028-2025 artfynd.xlsx", "A 41028-2025")</f>
        <v/>
      </c>
      <c r="W28">
        <f>HYPERLINK("https://klasma.github.io/Logging_2180/kartor/A 41028-2025 karta.png", "A 41028-2025")</f>
        <v/>
      </c>
      <c r="X28">
        <f>HYPERLINK("https://klasma.github.io/Logging_2180/kartor_geotiff/A 41028-2025 georefererad karta.tif", "A 41028-2025")</f>
        <v/>
      </c>
      <c r="Z28">
        <f>HYPERLINK("https://klasma.github.io/Logging_2180/klagomål/A 41028-2025 FSC-klagomål.docx", "A 41028-2025")</f>
        <v/>
      </c>
      <c r="AA28">
        <f>HYPERLINK("https://klasma.github.io/Logging_2180/klagomålsmail/A 41028-2025 FSC-klagomål mail.docx", "A 41028-2025")</f>
        <v/>
      </c>
      <c r="AB28">
        <f>HYPERLINK("https://klasma.github.io/Logging_2180/tillsyn/A 41028-2025 tillsynsbegäran.docx", "A 41028-2025")</f>
        <v/>
      </c>
      <c r="AC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46223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s="2" t="inlineStr">
        <is>
          <t>Skogsbräsma
Svavelriska
Blåsippa
Vanlig padda</t>
        </is>
      </c>
      <c r="V29">
        <f>HYPERLINK("https://klasma.github.io/Logging_2180/artfynd/A 53571-2024 artfynd.xlsx", "A 53571-2024")</f>
        <v/>
      </c>
      <c r="W29">
        <f>HYPERLINK("https://klasma.github.io/Logging_2180/kartor/A 53571-2024 karta.png", "A 53571-2024")</f>
        <v/>
      </c>
      <c r="X29">
        <f>HYPERLINK("https://klasma.github.io/Logging_2180/kartor_geotiff/A 53571-2024 georefererad karta.tif", "A 53571-2024")</f>
        <v/>
      </c>
      <c r="Z29">
        <f>HYPERLINK("https://klasma.github.io/Logging_2180/klagomål/A 53571-2024 FSC-klagomål.docx", "A 53571-2024")</f>
        <v/>
      </c>
      <c r="AA29">
        <f>HYPERLINK("https://klasma.github.io/Logging_2180/klagomålsmail/A 53571-2024 FSC-klagomål mail.docx", "A 53571-2024")</f>
        <v/>
      </c>
      <c r="AB29">
        <f>HYPERLINK("https://klasma.github.io/Logging_2180/tillsyn/A 53571-2024 tillsynsbegäran.docx", "A 53571-2024")</f>
        <v/>
      </c>
      <c r="AC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s="2" t="inlineStr">
        <is>
          <t>Bredbrämad bastardsvärmare
Mindre bastardsvärmare
Ängsblåvinge
Storfläckig kungsnattslända</t>
        </is>
      </c>
      <c r="V30">
        <f>HYPERLINK("https://klasma.github.io/Logging_2180/artfynd/A 6080-2026 artfynd.xlsx", "A 6080-2026")</f>
        <v/>
      </c>
      <c r="W30">
        <f>HYPERLINK("https://klasma.github.io/Logging_2180/kartor/A 6080-2026 karta.png", "A 6080-2026")</f>
        <v/>
      </c>
      <c r="X30">
        <f>HYPERLINK("https://klasma.github.io/Logging_2180/kartor_geotiff/A 6080-2026 georefererad karta.tif", "A 6080-2026")</f>
        <v/>
      </c>
      <c r="Z30">
        <f>HYPERLINK("https://klasma.github.io/Logging_2180/klagomål/A 6080-2026 FSC-klagomål.docx", "A 6080-2026")</f>
        <v/>
      </c>
      <c r="AA30">
        <f>HYPERLINK("https://klasma.github.io/Logging_2180/klagomålsmail/A 6080-2026 FSC-klagomål mail.docx", "A 6080-2026")</f>
        <v/>
      </c>
      <c r="AB30">
        <f>HYPERLINK("https://klasma.github.io/Logging_2180/tillsyn/A 6080-2026 tillsynsbegäran.docx", "A 6080-2026")</f>
        <v/>
      </c>
      <c r="AC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46223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s="2" t="inlineStr">
        <is>
          <t>Järnsparv
Rödvingetrast
Talltita
Grönsiska</t>
        </is>
      </c>
      <c r="V31">
        <f>HYPERLINK("https://klasma.github.io/Logging_2180/artfynd/A 4287-2024 artfynd.xlsx", "A 4287-2024")</f>
        <v/>
      </c>
      <c r="W31">
        <f>HYPERLINK("https://klasma.github.io/Logging_2180/kartor/A 4287-2024 karta.png", "A 4287-2024")</f>
        <v/>
      </c>
      <c r="X31">
        <f>HYPERLINK("https://klasma.github.io/Logging_2180/kartor_geotiff/A 4287-2024 georefererad karta.tif", "A 4287-2024")</f>
        <v/>
      </c>
      <c r="Z31">
        <f>HYPERLINK("https://klasma.github.io/Logging_2180/klagomål/A 4287-2024 FSC-klagomål.docx", "A 4287-2024")</f>
        <v/>
      </c>
      <c r="AA31">
        <f>HYPERLINK("https://klasma.github.io/Logging_2180/klagomålsmail/A 4287-2024 FSC-klagomål mail.docx", "A 4287-2024")</f>
        <v/>
      </c>
      <c r="AB31">
        <f>HYPERLINK("https://klasma.github.io/Logging_2180/tillsyn/A 4287-2024 tillsynsbegäran.docx", "A 4287-2024")</f>
        <v/>
      </c>
      <c r="AC31">
        <f>HYPERLINK("https://klasma.github.io/Logging_2180/tillsynsmail/A 4287-2024 tillsynsbegäran mail.docx", "A 4287-2024")</f>
        <v/>
      </c>
      <c r="AD31">
        <f>HYPERLINK("https://klasma.github.io/Logging_2180/fåglar/A 4287-2024 prioriterade fågelarter.docx", "A 4287-2024")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s="2" t="inlineStr">
        <is>
          <t>Topplåsbräken
Höstlåsbräken
Månlåsbräken
Mattlummer</t>
        </is>
      </c>
      <c r="V32">
        <f>HYPERLINK("https://klasma.github.io/Logging_2180/artfynd/A 27044-2026 artfynd.xlsx", "A 27044-2026")</f>
        <v/>
      </c>
      <c r="W32">
        <f>HYPERLINK("https://klasma.github.io/Logging_2180/kartor/A 27044-2026 karta.png", "A 27044-2026")</f>
        <v/>
      </c>
      <c r="X32">
        <f>HYPERLINK("https://klasma.github.io/Logging_2180/kartor_geotiff/A 27044-2026 georefererad karta.tif", "A 27044-2026")</f>
        <v/>
      </c>
      <c r="Z32">
        <f>HYPERLINK("https://klasma.github.io/Logging_2180/klagomål/A 27044-2026 FSC-klagomål.docx", "A 27044-2026")</f>
        <v/>
      </c>
      <c r="AA32">
        <f>HYPERLINK("https://klasma.github.io/Logging_2180/klagomålsmail/A 27044-2026 FSC-klagomål mail.docx", "A 27044-2026")</f>
        <v/>
      </c>
      <c r="AB32">
        <f>HYPERLINK("https://klasma.github.io/Logging_2180/tillsyn/A 27044-2026 tillsynsbegäran.docx", "A 27044-2026")</f>
        <v/>
      </c>
      <c r="AC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46223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s="2" t="inlineStr">
        <is>
          <t>Dropptaggsvamp
Tallticka
Vedskivlav
Vågbandad barkbock</t>
        </is>
      </c>
      <c r="V33">
        <f>HYPERLINK("https://klasma.github.io/Logging_2180/artfynd/A 1100-2024 artfynd.xlsx", "A 1100-2024")</f>
        <v/>
      </c>
      <c r="W33">
        <f>HYPERLINK("https://klasma.github.io/Logging_2180/kartor/A 1100-2024 karta.png", "A 1100-2024")</f>
        <v/>
      </c>
      <c r="X33">
        <f>HYPERLINK("https://klasma.github.io/Logging_2180/kartor_geotiff/A 1100-2024 georefererad karta.tif", "A 1100-2024")</f>
        <v/>
      </c>
      <c r="Z33">
        <f>HYPERLINK("https://klasma.github.io/Logging_2180/klagomål/A 1100-2024 FSC-klagomål.docx", "A 1100-2024")</f>
        <v/>
      </c>
      <c r="AA33">
        <f>HYPERLINK("https://klasma.github.io/Logging_2180/klagomålsmail/A 1100-2024 FSC-klagomål mail.docx", "A 1100-2024")</f>
        <v/>
      </c>
      <c r="AB33">
        <f>HYPERLINK("https://klasma.github.io/Logging_2180/tillsyn/A 1100-2024 tillsynsbegäran.docx", "A 1100-2024")</f>
        <v/>
      </c>
      <c r="AC33">
        <f>HYPERLINK("https://klasma.github.io/Logging_2180/tillsynsmail/A 1100-2024 tillsynsbegäran mail.docx", "A 1100-2024")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46223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s="2" t="inlineStr">
        <is>
          <t>Ask
Brunfläckig pärlemorfjäril
Jättesvampmal
Strimspindling</t>
        </is>
      </c>
      <c r="V34">
        <f>HYPERLINK("https://klasma.github.io/Logging_2180/artfynd/A 64567-2023 artfynd.xlsx", "A 64567-2023")</f>
        <v/>
      </c>
      <c r="W34">
        <f>HYPERLINK("https://klasma.github.io/Logging_2180/kartor/A 64567-2023 karta.png", "A 64567-2023")</f>
        <v/>
      </c>
      <c r="X34">
        <f>HYPERLINK("https://klasma.github.io/Logging_2180/kartor_geotiff/A 64567-2023 georefererad karta.tif", "A 64567-2023")</f>
        <v/>
      </c>
      <c r="Z34">
        <f>HYPERLINK("https://klasma.github.io/Logging_2180/klagomål/A 64567-2023 FSC-klagomål.docx", "A 64567-2023")</f>
        <v/>
      </c>
      <c r="AA34">
        <f>HYPERLINK("https://klasma.github.io/Logging_2180/klagomålsmail/A 64567-2023 FSC-klagomål mail.docx", "A 64567-2023")</f>
        <v/>
      </c>
      <c r="AB34">
        <f>HYPERLINK("https://klasma.github.io/Logging_2180/tillsyn/A 64567-2023 tillsynsbegäran.docx", "A 64567-2023")</f>
        <v/>
      </c>
      <c r="AC34">
        <f>HYPERLINK("https://klasma.github.io/Logging_2180/tillsynsmail/A 64567-2023 tillsynsbegäran mail.docx", "A 64567-2023")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46223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s="2" t="inlineStr">
        <is>
          <t>Knärot
Lunglav
Tallticka
Tretåig hackspett</t>
        </is>
      </c>
      <c r="V35">
        <f>HYPERLINK("https://klasma.github.io/Logging_2180/artfynd/A 9570-2025 artfynd.xlsx", "A 9570-2025")</f>
        <v/>
      </c>
      <c r="W35">
        <f>HYPERLINK("https://klasma.github.io/Logging_2180/kartor/A 9570-2025 karta.png", "A 9570-2025")</f>
        <v/>
      </c>
      <c r="X35">
        <f>HYPERLINK("https://klasma.github.io/Logging_2180/kartor_geotiff/A 9570-2025 georefererad karta.tif", "A 9570-2025")</f>
        <v/>
      </c>
      <c r="Y35">
        <f>HYPERLINK("https://klasma.github.io/Logging_2180/knärot/A 9570-2025 karta knärot.png", "A 9570-2025")</f>
        <v/>
      </c>
      <c r="Z35">
        <f>HYPERLINK("https://klasma.github.io/Logging_2180/klagomål/A 9570-2025 FSC-klagomål.docx", "A 9570-2025")</f>
        <v/>
      </c>
      <c r="AA35">
        <f>HYPERLINK("https://klasma.github.io/Logging_2180/klagomålsmail/A 9570-2025 FSC-klagomål mail.docx", "A 9570-2025")</f>
        <v/>
      </c>
      <c r="AB35">
        <f>HYPERLINK("https://klasma.github.io/Logging_2180/tillsyn/A 9570-2025 tillsynsbegäran.docx", "A 9570-2025")</f>
        <v/>
      </c>
      <c r="AC35">
        <f>HYPERLINK("https://klasma.github.io/Logging_2180/tillsynsmail/A 9570-2025 tillsynsbegäran mail.docx", "A 9570-2025")</f>
        <v/>
      </c>
      <c r="AD35">
        <f>HYPERLINK("https://klasma.github.io/Logging_2180/fåglar/A 9570-2025 prioriterade fågelarter.docx", "A 9570-2025")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46223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s="2" t="inlineStr">
        <is>
          <t>Topplåsbräken
Höstlåsbräken
Månlåsbräken
Mattlummer</t>
        </is>
      </c>
      <c r="V36">
        <f>HYPERLINK("https://klasma.github.io/Logging_2180/artfynd/A 24904-2026 artfynd.xlsx", "A 24904-2026")</f>
        <v/>
      </c>
      <c r="W36">
        <f>HYPERLINK("https://klasma.github.io/Logging_2180/kartor/A 24904-2026 karta.png", "A 24904-2026")</f>
        <v/>
      </c>
      <c r="X36">
        <f>HYPERLINK("https://klasma.github.io/Logging_2180/kartor_geotiff/A 24904-2026 georefererad karta.tif", "A 24904-2026")</f>
        <v/>
      </c>
      <c r="Z36">
        <f>HYPERLINK("https://klasma.github.io/Logging_2180/klagomål/A 24904-2026 FSC-klagomål.docx", "A 24904-2026")</f>
        <v/>
      </c>
      <c r="AA36">
        <f>HYPERLINK("https://klasma.github.io/Logging_2180/klagomålsmail/A 24904-2026 FSC-klagomål mail.docx", "A 24904-2026")</f>
        <v/>
      </c>
      <c r="AB36">
        <f>HYPERLINK("https://klasma.github.io/Logging_2180/tillsyn/A 24904-2026 tillsynsbegäran.docx", "A 24904-2026")</f>
        <v/>
      </c>
      <c r="AC36">
        <f>HYPERLINK("https://klasma.github.io/Logging_2180/tillsynsmail/A 24904-2026 tillsynsbegäran mail.docx", "A 24904-2026")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46223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s="2" t="inlineStr">
        <is>
          <t>Ask
Kattfotslav
Svavelriska</t>
        </is>
      </c>
      <c r="V37">
        <f>HYPERLINK("https://klasma.github.io/Logging_2180/artfynd/A 14891-2024 artfynd.xlsx", "A 14891-2024")</f>
        <v/>
      </c>
      <c r="W37">
        <f>HYPERLINK("https://klasma.github.io/Logging_2180/kartor/A 14891-2024 karta.png", "A 14891-2024")</f>
        <v/>
      </c>
      <c r="X37">
        <f>HYPERLINK("https://klasma.github.io/Logging_2180/kartor_geotiff/A 14891-2024 georefererad karta.tif", "A 14891-2024")</f>
        <v/>
      </c>
      <c r="Z37">
        <f>HYPERLINK("https://klasma.github.io/Logging_2180/klagomål/A 14891-2024 FSC-klagomål.docx", "A 14891-2024")</f>
        <v/>
      </c>
      <c r="AA37">
        <f>HYPERLINK("https://klasma.github.io/Logging_2180/klagomålsmail/A 14891-2024 FSC-klagomål mail.docx", "A 14891-2024")</f>
        <v/>
      </c>
      <c r="AB37">
        <f>HYPERLINK("https://klasma.github.io/Logging_2180/tillsyn/A 14891-2024 tillsynsbegäran.docx", "A 14891-2024")</f>
        <v/>
      </c>
      <c r="AC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46223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Brunklöver
Tjäder
Huggorm</t>
        </is>
      </c>
      <c r="V38">
        <f>HYPERLINK("https://klasma.github.io/Logging_2180/artfynd/A 18215-2024 artfynd.xlsx", "A 18215-2024")</f>
        <v/>
      </c>
      <c r="W38">
        <f>HYPERLINK("https://klasma.github.io/Logging_2180/kartor/A 18215-2024 karta.png", "A 18215-2024")</f>
        <v/>
      </c>
      <c r="X38">
        <f>HYPERLINK("https://klasma.github.io/Logging_2180/kartor_geotiff/A 18215-2024 georefererad karta.tif", "A 18215-2024")</f>
        <v/>
      </c>
      <c r="Z38">
        <f>HYPERLINK("https://klasma.github.io/Logging_2180/klagomål/A 18215-2024 FSC-klagomål.docx", "A 18215-2024")</f>
        <v/>
      </c>
      <c r="AA38">
        <f>HYPERLINK("https://klasma.github.io/Logging_2180/klagomålsmail/A 18215-2024 FSC-klagomål mail.docx", "A 18215-2024")</f>
        <v/>
      </c>
      <c r="AB38">
        <f>HYPERLINK("https://klasma.github.io/Logging_2180/tillsyn/A 18215-2024 tillsynsbegäran.docx", "A 18215-2024")</f>
        <v/>
      </c>
      <c r="AC38">
        <f>HYPERLINK("https://klasma.github.io/Logging_2180/tillsynsmail/A 18215-2024 tillsynsbegäran mail.docx", "A 18215-2024")</f>
        <v/>
      </c>
      <c r="AD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46223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Brunklöver
Höstlåsbräken
Mattlummer</t>
        </is>
      </c>
      <c r="V39">
        <f>HYPERLINK("https://klasma.github.io/Logging_2180/artfynd/A 29626-2025 artfynd.xlsx", "A 29626-2025")</f>
        <v/>
      </c>
      <c r="W39">
        <f>HYPERLINK("https://klasma.github.io/Logging_2180/kartor/A 29626-2025 karta.png", "A 29626-2025")</f>
        <v/>
      </c>
      <c r="X39">
        <f>HYPERLINK("https://klasma.github.io/Logging_2180/kartor_geotiff/A 29626-2025 georefererad karta.tif", "A 29626-2025")</f>
        <v/>
      </c>
      <c r="Z39">
        <f>HYPERLINK("https://klasma.github.io/Logging_2180/klagomål/A 29626-2025 FSC-klagomål.docx", "A 29626-2025")</f>
        <v/>
      </c>
      <c r="AA39">
        <f>HYPERLINK("https://klasma.github.io/Logging_2180/klagomålsmail/A 29626-2025 FSC-klagomål mail.docx", "A 29626-2025")</f>
        <v/>
      </c>
      <c r="AB39">
        <f>HYPERLINK("https://klasma.github.io/Logging_2180/tillsyn/A 29626-2025 tillsynsbegäran.docx", "A 29626-2025")</f>
        <v/>
      </c>
      <c r="AC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s="2" t="inlineStr">
        <is>
          <t>Skrovlig taggsvamp
Kolflarnlav
Tjäder</t>
        </is>
      </c>
      <c r="V40">
        <f>HYPERLINK("https://klasma.github.io/Logging_2180/artfynd/A 41242-2025 artfynd.xlsx", "A 41242-2025")</f>
        <v/>
      </c>
      <c r="W40">
        <f>HYPERLINK("https://klasma.github.io/Logging_2180/kartor/A 41242-2025 karta.png", "A 41242-2025")</f>
        <v/>
      </c>
      <c r="X40">
        <f>HYPERLINK("https://klasma.github.io/Logging_2180/kartor_geotiff/A 41242-2025 georefererad karta.tif", "A 41242-2025")</f>
        <v/>
      </c>
      <c r="Z40">
        <f>HYPERLINK("https://klasma.github.io/Logging_2180/klagomål/A 41242-2025 FSC-klagomål.docx", "A 41242-2025")</f>
        <v/>
      </c>
      <c r="AA40">
        <f>HYPERLINK("https://klasma.github.io/Logging_2180/klagomålsmail/A 41242-2025 FSC-klagomål mail.docx", "A 41242-2025")</f>
        <v/>
      </c>
      <c r="AB40">
        <f>HYPERLINK("https://klasma.github.io/Logging_2180/tillsyn/A 41242-2025 tillsynsbegäran.docx", "A 41242-2025")</f>
        <v/>
      </c>
      <c r="AC40">
        <f>HYPERLINK("https://klasma.github.io/Logging_2180/tillsynsmail/A 41242-2025 tillsynsbegäran mail.docx", "A 41242-2025")</f>
        <v/>
      </c>
      <c r="AD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46223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Nordfladdermus
Blåsippa
Vattenfladdermus</t>
        </is>
      </c>
      <c r="V41">
        <f>HYPERLINK("https://klasma.github.io/Logging_2180/artfynd/A 10169-2026 artfynd.xlsx", "A 10169-2026")</f>
        <v/>
      </c>
      <c r="W41">
        <f>HYPERLINK("https://klasma.github.io/Logging_2180/kartor/A 10169-2026 karta.png", "A 10169-2026")</f>
        <v/>
      </c>
      <c r="X41">
        <f>HYPERLINK("https://klasma.github.io/Logging_2180/kartor_geotiff/A 10169-2026 georefererad karta.tif", "A 10169-2026")</f>
        <v/>
      </c>
      <c r="Z41">
        <f>HYPERLINK("https://klasma.github.io/Logging_2180/klagomål/A 10169-2026 FSC-klagomål.docx", "A 10169-2026")</f>
        <v/>
      </c>
      <c r="AA41">
        <f>HYPERLINK("https://klasma.github.io/Logging_2180/klagomålsmail/A 10169-2026 FSC-klagomål mail.docx", "A 10169-2026")</f>
        <v/>
      </c>
      <c r="AB41">
        <f>HYPERLINK("https://klasma.github.io/Logging_2180/tillsyn/A 10169-2026 tillsynsbegäran.docx", "A 10169-2026")</f>
        <v/>
      </c>
      <c r="AC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46223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s="2" t="inlineStr">
        <is>
          <t>Ask
Lunglav
Bårdlav</t>
        </is>
      </c>
      <c r="V42">
        <f>HYPERLINK("https://klasma.github.io/Logging_2180/artfynd/A 15093-2026 artfynd.xlsx", "A 15093-2026")</f>
        <v/>
      </c>
      <c r="W42">
        <f>HYPERLINK("https://klasma.github.io/Logging_2180/kartor/A 15093-2026 karta.png", "A 15093-2026")</f>
        <v/>
      </c>
      <c r="X42">
        <f>HYPERLINK("https://klasma.github.io/Logging_2180/kartor_geotiff/A 15093-2026 georefererad karta.tif", "A 15093-2026")</f>
        <v/>
      </c>
      <c r="Z42">
        <f>HYPERLINK("https://klasma.github.io/Logging_2180/klagomål/A 15093-2026 FSC-klagomål.docx", "A 15093-2026")</f>
        <v/>
      </c>
      <c r="AA42">
        <f>HYPERLINK("https://klasma.github.io/Logging_2180/klagomålsmail/A 15093-2026 FSC-klagomål mail.docx", "A 15093-2026")</f>
        <v/>
      </c>
      <c r="AB42">
        <f>HYPERLINK("https://klasma.github.io/Logging_2180/tillsyn/A 15093-2026 tillsynsbegäran.docx", "A 15093-2026")</f>
        <v/>
      </c>
      <c r="AC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Älg
Spillkråka
Tjäder</t>
        </is>
      </c>
      <c r="V43">
        <f>HYPERLINK("https://klasma.github.io/Logging_2180/artfynd/A 15757-2026 artfynd.xlsx", "A 15757-2026")</f>
        <v/>
      </c>
      <c r="W43">
        <f>HYPERLINK("https://klasma.github.io/Logging_2180/kartor/A 15757-2026 karta.png", "A 15757-2026")</f>
        <v/>
      </c>
      <c r="X43">
        <f>HYPERLINK("https://klasma.github.io/Logging_2180/kartor_geotiff/A 15757-2026 georefererad karta.tif", "A 15757-2026")</f>
        <v/>
      </c>
      <c r="Z43">
        <f>HYPERLINK("https://klasma.github.io/Logging_2180/klagomål/A 15757-2026 FSC-klagomål.docx", "A 15757-2026")</f>
        <v/>
      </c>
      <c r="AA43">
        <f>HYPERLINK("https://klasma.github.io/Logging_2180/klagomålsmail/A 15757-2026 FSC-klagomål mail.docx", "A 15757-2026")</f>
        <v/>
      </c>
      <c r="AB43">
        <f>HYPERLINK("https://klasma.github.io/Logging_2180/tillsyn/A 15757-2026 tillsynsbegäran.docx", "A 15757-2026")</f>
        <v/>
      </c>
      <c r="AC43">
        <f>HYPERLINK("https://klasma.github.io/Logging_2180/tillsynsmail/A 15757-2026 tillsynsbegäran mail.docx", "A 15757-2026")</f>
        <v/>
      </c>
      <c r="AD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46223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s="2" t="inlineStr">
        <is>
          <t>Pärluggla
Storspov
Sångsvan</t>
        </is>
      </c>
      <c r="V44">
        <f>HYPERLINK("https://klasma.github.io/Logging_2180/artfynd/A 25357-2026 artfynd.xlsx", "A 25357-2026")</f>
        <v/>
      </c>
      <c r="W44">
        <f>HYPERLINK("https://klasma.github.io/Logging_2180/kartor/A 25357-2026 karta.png", "A 25357-2026")</f>
        <v/>
      </c>
      <c r="X44">
        <f>HYPERLINK("https://klasma.github.io/Logging_2180/kartor_geotiff/A 25357-2026 georefererad karta.tif", "A 25357-2026")</f>
        <v/>
      </c>
      <c r="Z44">
        <f>HYPERLINK("https://klasma.github.io/Logging_2180/klagomål/A 25357-2026 FSC-klagomål.docx", "A 25357-2026")</f>
        <v/>
      </c>
      <c r="AA44">
        <f>HYPERLINK("https://klasma.github.io/Logging_2180/klagomålsmail/A 25357-2026 FSC-klagomål mail.docx", "A 25357-2026")</f>
        <v/>
      </c>
      <c r="AB44">
        <f>HYPERLINK("https://klasma.github.io/Logging_2180/tillsyn/A 25357-2026 tillsynsbegäran.docx", "A 25357-2026")</f>
        <v/>
      </c>
      <c r="AC44">
        <f>HYPERLINK("https://klasma.github.io/Logging_2180/tillsynsmail/A 25357-2026 tillsynsbegäran mail.docx", "A 25357-2026")</f>
        <v/>
      </c>
      <c r="AD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X45">
        <f>HYPERLINK("https://klasma.github.io/Logging_2180/kartor_geotiff/S 474-2022 georefererad karta.tif", "S 474-2022")</f>
        <v/>
      </c>
      <c r="Z45">
        <f>HYPERLINK("https://klasma.github.io/Logging_2180/klagomål/S 474-2022 FSC-klagomål.docx", "S 474-2022")</f>
        <v/>
      </c>
      <c r="AA45">
        <f>HYPERLINK("https://klasma.github.io/Logging_2180/klagomålsmail/S 474-2022 FSC-klagomål mail.docx", "S 474-2022")</f>
        <v/>
      </c>
      <c r="AB45">
        <f>HYPERLINK("https://klasma.github.io/Logging_2180/tillsyn/S 474-2022 tillsynsbegäran.docx", "S 474-2022")</f>
        <v/>
      </c>
      <c r="AC45">
        <f>HYPERLINK("https://klasma.github.io/Logging_2180/tillsynsmail/S 474-2022 tillsynsbegäran mail.docx", "S 474-2022")</f>
        <v/>
      </c>
      <c r="AD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46223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X46">
        <f>HYPERLINK("https://klasma.github.io/Logging_2180/kartor_geotiff/A 53049-2022 georefererad karta.tif", "A 53049-2022")</f>
        <v/>
      </c>
      <c r="Z46">
        <f>HYPERLINK("https://klasma.github.io/Logging_2180/klagomål/A 53049-2022 FSC-klagomål.docx", "A 53049-2022")</f>
        <v/>
      </c>
      <c r="AA46">
        <f>HYPERLINK("https://klasma.github.io/Logging_2180/klagomålsmail/A 53049-2022 FSC-klagomål mail.docx", "A 53049-2022")</f>
        <v/>
      </c>
      <c r="AB46">
        <f>HYPERLINK("https://klasma.github.io/Logging_2180/tillsyn/A 53049-2022 tillsynsbegäran.docx", "A 53049-2022")</f>
        <v/>
      </c>
      <c r="AC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46223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X47">
        <f>HYPERLINK("https://klasma.github.io/Logging_2180/kartor_geotiff/A 40023-2021 georefererad karta.tif", "A 40023-2021")</f>
        <v/>
      </c>
      <c r="Z47">
        <f>HYPERLINK("https://klasma.github.io/Logging_2180/klagomål/A 40023-2021 FSC-klagomål.docx", "A 40023-2021")</f>
        <v/>
      </c>
      <c r="AA47">
        <f>HYPERLINK("https://klasma.github.io/Logging_2180/klagomålsmail/A 40023-2021 FSC-klagomål mail.docx", "A 40023-2021")</f>
        <v/>
      </c>
      <c r="AB47">
        <f>HYPERLINK("https://klasma.github.io/Logging_2180/tillsyn/A 40023-2021 tillsynsbegäran.docx", "A 40023-2021")</f>
        <v/>
      </c>
      <c r="AC47">
        <f>HYPERLINK("https://klasma.github.io/Logging_2180/tillsynsmail/A 40023-2021 tillsynsbegäran mail.docx", "A 40023-2021")</f>
        <v/>
      </c>
      <c r="AD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46223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Tibast
Nattviol</t>
        </is>
      </c>
      <c r="V48">
        <f>HYPERLINK("https://klasma.github.io/Logging_2180/artfynd/A 6473-2024 artfynd.xlsx", "A 6473-2024")</f>
        <v/>
      </c>
      <c r="W48">
        <f>HYPERLINK("https://klasma.github.io/Logging_2180/kartor/A 6473-2024 karta.png", "A 6473-2024")</f>
        <v/>
      </c>
      <c r="X48">
        <f>HYPERLINK("https://klasma.github.io/Logging_2180/kartor_geotiff/A 6473-2024 georefererad karta.tif", "A 6473-2024")</f>
        <v/>
      </c>
      <c r="Z48">
        <f>HYPERLINK("https://klasma.github.io/Logging_2180/klagomål/A 6473-2024 FSC-klagomål.docx", "A 6473-2024")</f>
        <v/>
      </c>
      <c r="AA48">
        <f>HYPERLINK("https://klasma.github.io/Logging_2180/klagomålsmail/A 6473-2024 FSC-klagomål mail.docx", "A 6473-2024")</f>
        <v/>
      </c>
      <c r="AB48">
        <f>HYPERLINK("https://klasma.github.io/Logging_2180/tillsyn/A 6473-2024 tillsynsbegäran.docx", "A 6473-2024")</f>
        <v/>
      </c>
      <c r="AC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46223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s="2" t="inlineStr">
        <is>
          <t>Spillkråka
Orre</t>
        </is>
      </c>
      <c r="V49">
        <f>HYPERLINK("https://klasma.github.io/Logging_2180/artfynd/A 32328-2024 artfynd.xlsx", "A 32328-2024")</f>
        <v/>
      </c>
      <c r="W49">
        <f>HYPERLINK("https://klasma.github.io/Logging_2180/kartor/A 32328-2024 karta.png", "A 32328-2024")</f>
        <v/>
      </c>
      <c r="X49">
        <f>HYPERLINK("https://klasma.github.io/Logging_2180/kartor_geotiff/A 32328-2024 georefererad karta.tif", "A 32328-2024")</f>
        <v/>
      </c>
      <c r="Z49">
        <f>HYPERLINK("https://klasma.github.io/Logging_2180/klagomål/A 32328-2024 FSC-klagomål.docx", "A 32328-2024")</f>
        <v/>
      </c>
      <c r="AA49">
        <f>HYPERLINK("https://klasma.github.io/Logging_2180/klagomålsmail/A 32328-2024 FSC-klagomål mail.docx", "A 32328-2024")</f>
        <v/>
      </c>
      <c r="AB49">
        <f>HYPERLINK("https://klasma.github.io/Logging_2180/tillsyn/A 32328-2024 tillsynsbegäran.docx", "A 32328-2024")</f>
        <v/>
      </c>
      <c r="AC49">
        <f>HYPERLINK("https://klasma.github.io/Logging_2180/tillsynsmail/A 32328-2024 tillsynsbegäran mail.docx", "A 32328-2024")</f>
        <v/>
      </c>
      <c r="AD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46223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Reliktbock
Vedflamlav</t>
        </is>
      </c>
      <c r="V50">
        <f>HYPERLINK("https://klasma.github.io/Logging_2180/artfynd/A 41213-2025 artfynd.xlsx", "A 41213-2025")</f>
        <v/>
      </c>
      <c r="W50">
        <f>HYPERLINK("https://klasma.github.io/Logging_2180/kartor/A 41213-2025 karta.png", "A 41213-2025")</f>
        <v/>
      </c>
      <c r="X50">
        <f>HYPERLINK("https://klasma.github.io/Logging_2180/kartor_geotiff/A 41213-2025 georefererad karta.tif", "A 41213-2025")</f>
        <v/>
      </c>
      <c r="Z50">
        <f>HYPERLINK("https://klasma.github.io/Logging_2180/klagomål/A 41213-2025 FSC-klagomål.docx", "A 41213-2025")</f>
        <v/>
      </c>
      <c r="AA50">
        <f>HYPERLINK("https://klasma.github.io/Logging_2180/klagomålsmail/A 41213-2025 FSC-klagomål mail.docx", "A 41213-2025")</f>
        <v/>
      </c>
      <c r="AB50">
        <f>HYPERLINK("https://klasma.github.io/Logging_2180/tillsyn/A 41213-2025 tillsynsbegäran.docx", "A 41213-2025")</f>
        <v/>
      </c>
      <c r="AC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46223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Svavelriska
Blåsippa</t>
        </is>
      </c>
      <c r="V51">
        <f>HYPERLINK("https://klasma.github.io/Logging_2180/artfynd/A 42261-2025 artfynd.xlsx", "A 42261-2025")</f>
        <v/>
      </c>
      <c r="W51">
        <f>HYPERLINK("https://klasma.github.io/Logging_2180/kartor/A 42261-2025 karta.png", "A 42261-2025")</f>
        <v/>
      </c>
      <c r="X51">
        <f>HYPERLINK("https://klasma.github.io/Logging_2180/kartor_geotiff/A 42261-2025 georefererad karta.tif", "A 42261-2025")</f>
        <v/>
      </c>
      <c r="Z51">
        <f>HYPERLINK("https://klasma.github.io/Logging_2180/klagomål/A 42261-2025 FSC-klagomål.docx", "A 42261-2025")</f>
        <v/>
      </c>
      <c r="AA51">
        <f>HYPERLINK("https://klasma.github.io/Logging_2180/klagomålsmail/A 42261-2025 FSC-klagomål mail.docx", "A 42261-2025")</f>
        <v/>
      </c>
      <c r="AB51">
        <f>HYPERLINK("https://klasma.github.io/Logging_2180/tillsyn/A 42261-2025 tillsynsbegäran.docx", "A 42261-2025")</f>
        <v/>
      </c>
      <c r="AC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46223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Blåsippa
Havsörn</t>
        </is>
      </c>
      <c r="V52">
        <f>HYPERLINK("https://klasma.github.io/Logging_2180/artfynd/A 18218-2024 artfynd.xlsx", "A 18218-2024")</f>
        <v/>
      </c>
      <c r="W52">
        <f>HYPERLINK("https://klasma.github.io/Logging_2180/kartor/A 18218-2024 karta.png", "A 18218-2024")</f>
        <v/>
      </c>
      <c r="X52">
        <f>HYPERLINK("https://klasma.github.io/Logging_2180/kartor_geotiff/A 18218-2024 georefererad karta.tif", "A 18218-2024")</f>
        <v/>
      </c>
      <c r="Z52">
        <f>HYPERLINK("https://klasma.github.io/Logging_2180/klagomål/A 18218-2024 FSC-klagomål.docx", "A 18218-2024")</f>
        <v/>
      </c>
      <c r="AA52">
        <f>HYPERLINK("https://klasma.github.io/Logging_2180/klagomålsmail/A 18218-2024 FSC-klagomål mail.docx", "A 18218-2024")</f>
        <v/>
      </c>
      <c r="AB52">
        <f>HYPERLINK("https://klasma.github.io/Logging_2180/tillsyn/A 18218-2024 tillsynsbegäran.docx", "A 18218-2024")</f>
        <v/>
      </c>
      <c r="AC52">
        <f>HYPERLINK("https://klasma.github.io/Logging_2180/tillsynsmail/A 18218-2024 tillsynsbegäran mail.docx", "A 18218-2024")</f>
        <v/>
      </c>
      <c r="AD52">
        <f>HYPERLINK("https://klasma.github.io/Logging_2180/fåglar/A 18218-2024 prioriterade fågelarter.docx", "A 18218-2024")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46223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s="2" t="inlineStr">
        <is>
          <t>Väddnätfjäril
Sotnätfjäril</t>
        </is>
      </c>
      <c r="V53">
        <f>HYPERLINK("https://klasma.github.io/Logging_2180/artfynd/A 14554-2026 artfynd.xlsx", "A 14554-2026")</f>
        <v/>
      </c>
      <c r="W53">
        <f>HYPERLINK("https://klasma.github.io/Logging_2180/kartor/A 14554-2026 karta.png", "A 14554-2026")</f>
        <v/>
      </c>
      <c r="X53">
        <f>HYPERLINK("https://klasma.github.io/Logging_2180/kartor_geotiff/A 14554-2026 georefererad karta.tif", "A 14554-2026")</f>
        <v/>
      </c>
      <c r="Z53">
        <f>HYPERLINK("https://klasma.github.io/Logging_2180/klagomål/A 14554-2026 FSC-klagomål.docx", "A 14554-2026")</f>
        <v/>
      </c>
      <c r="AA53">
        <f>HYPERLINK("https://klasma.github.io/Logging_2180/klagomålsmail/A 14554-2026 FSC-klagomål mail.docx", "A 14554-2026")</f>
        <v/>
      </c>
      <c r="AB53">
        <f>HYPERLINK("https://klasma.github.io/Logging_2180/tillsyn/A 14554-2026 tillsynsbegäran.docx", "A 14554-2026")</f>
        <v/>
      </c>
      <c r="AC53">
        <f>HYPERLINK("https://klasma.github.io/Logging_2180/tillsynsmail/A 14554-2026 tillsynsbegäran mail.docx", "A 14554-2026")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46223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Vårärt
Blåsippa</t>
        </is>
      </c>
      <c r="V54">
        <f>HYPERLINK("https://klasma.github.io/Logging_2180/artfynd/A 50049-2025 artfynd.xlsx", "A 50049-2025")</f>
        <v/>
      </c>
      <c r="W54">
        <f>HYPERLINK("https://klasma.github.io/Logging_2180/kartor/A 50049-2025 karta.png", "A 50049-2025")</f>
        <v/>
      </c>
      <c r="X54">
        <f>HYPERLINK("https://klasma.github.io/Logging_2180/kartor_geotiff/A 50049-2025 georefererad karta.tif", "A 50049-2025")</f>
        <v/>
      </c>
      <c r="Z54">
        <f>HYPERLINK("https://klasma.github.io/Logging_2180/klagomål/A 50049-2025 FSC-klagomål.docx", "A 50049-2025")</f>
        <v/>
      </c>
      <c r="AA54">
        <f>HYPERLINK("https://klasma.github.io/Logging_2180/klagomålsmail/A 50049-2025 FSC-klagomål mail.docx", "A 50049-2025")</f>
        <v/>
      </c>
      <c r="AB54">
        <f>HYPERLINK("https://klasma.github.io/Logging_2180/tillsyn/A 50049-2025 tillsynsbegäran.docx", "A 50049-2025")</f>
        <v/>
      </c>
      <c r="AC54">
        <f>HYPERLINK("https://klasma.github.io/Logging_2180/tillsynsmail/A 50049-2025 tillsynsbegäran mail.docx", "A 50049-2025")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46223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Garnlav
Spillkråka</t>
        </is>
      </c>
      <c r="V55">
        <f>HYPERLINK("https://klasma.github.io/Logging_2180/artfynd/A 60202-2025 artfynd.xlsx", "A 60202-2025")</f>
        <v/>
      </c>
      <c r="W55">
        <f>HYPERLINK("https://klasma.github.io/Logging_2180/kartor/A 60202-2025 karta.png", "A 60202-2025")</f>
        <v/>
      </c>
      <c r="X55">
        <f>HYPERLINK("https://klasma.github.io/Logging_2180/kartor_geotiff/A 60202-2025 georefererad karta.tif", "A 60202-2025")</f>
        <v/>
      </c>
      <c r="Z55">
        <f>HYPERLINK("https://klasma.github.io/Logging_2180/klagomål/A 60202-2025 FSC-klagomål.docx", "A 60202-2025")</f>
        <v/>
      </c>
      <c r="AA55">
        <f>HYPERLINK("https://klasma.github.io/Logging_2180/klagomålsmail/A 60202-2025 FSC-klagomål mail.docx", "A 60202-2025")</f>
        <v/>
      </c>
      <c r="AB55">
        <f>HYPERLINK("https://klasma.github.io/Logging_2180/tillsyn/A 60202-2025 tillsynsbegäran.docx", "A 60202-2025")</f>
        <v/>
      </c>
      <c r="AC55">
        <f>HYPERLINK("https://klasma.github.io/Logging_2180/tillsynsmail/A 60202-2025 tillsynsbegäran mail.docx", "A 60202-2025")</f>
        <v/>
      </c>
      <c r="AD55">
        <f>HYPERLINK("https://klasma.github.io/Logging_2180/fåglar/A 60202-2025 prioriterade fågelarter.docx", "A 60202-2025")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46223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Pärluggla
Sparvuggla</t>
        </is>
      </c>
      <c r="V56">
        <f>HYPERLINK("https://klasma.github.io/Logging_2180/artfynd/A 13487-2026 artfynd.xlsx", "A 13487-2026")</f>
        <v/>
      </c>
      <c r="W56">
        <f>HYPERLINK("https://klasma.github.io/Logging_2180/kartor/A 13487-2026 karta.png", "A 13487-2026")</f>
        <v/>
      </c>
      <c r="X56">
        <f>HYPERLINK("https://klasma.github.io/Logging_2180/kartor_geotiff/A 13487-2026 georefererad karta.tif", "A 13487-2026")</f>
        <v/>
      </c>
      <c r="Z56">
        <f>HYPERLINK("https://klasma.github.io/Logging_2180/klagomål/A 13487-2026 FSC-klagomål.docx", "A 13487-2026")</f>
        <v/>
      </c>
      <c r="AA56">
        <f>HYPERLINK("https://klasma.github.io/Logging_2180/klagomålsmail/A 13487-2026 FSC-klagomål mail.docx", "A 13487-2026")</f>
        <v/>
      </c>
      <c r="AB56">
        <f>HYPERLINK("https://klasma.github.io/Logging_2180/tillsyn/A 13487-2026 tillsynsbegäran.docx", "A 13487-2026")</f>
        <v/>
      </c>
      <c r="AC56">
        <f>HYPERLINK("https://klasma.github.io/Logging_2180/tillsynsmail/A 13487-2026 tillsynsbegäran mail.docx", "A 13487-2026")</f>
        <v/>
      </c>
      <c r="AD56">
        <f>HYPERLINK("https://klasma.github.io/Logging_2180/fåglar/A 13487-2026 prioriterade fågelarter.docx", "A 13487-2026")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46223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Dropptaggsvamp
Blåsippa</t>
        </is>
      </c>
      <c r="V57">
        <f>HYPERLINK("https://klasma.github.io/Logging_2180/artfynd/A 56538-2022 artfynd.xlsx", "A 56538-2022")</f>
        <v/>
      </c>
      <c r="W57">
        <f>HYPERLINK("https://klasma.github.io/Logging_2180/kartor/A 56538-2022 karta.png", "A 56538-2022")</f>
        <v/>
      </c>
      <c r="X57">
        <f>HYPERLINK("https://klasma.github.io/Logging_2180/kartor_geotiff/A 56538-2022 georefererad karta.tif", "A 56538-2022")</f>
        <v/>
      </c>
      <c r="Z57">
        <f>HYPERLINK("https://klasma.github.io/Logging_2180/klagomål/A 56538-2022 FSC-klagomål.docx", "A 56538-2022")</f>
        <v/>
      </c>
      <c r="AA57">
        <f>HYPERLINK("https://klasma.github.io/Logging_2180/klagomålsmail/A 56538-2022 FSC-klagomål mail.docx", "A 56538-2022")</f>
        <v/>
      </c>
      <c r="AB57">
        <f>HYPERLINK("https://klasma.github.io/Logging_2180/tillsyn/A 56538-2022 tillsynsbegäran.docx", "A 56538-2022")</f>
        <v/>
      </c>
      <c r="AC57">
        <f>HYPERLINK("https://klasma.github.io/Logging_2180/tillsynsmail/A 56538-2022 tillsynsbegäran mail.docx", "A 56538-2022")</f>
        <v/>
      </c>
    </row>
    <row r="58" ht="15" customHeight="1">
      <c r="A58" t="inlineStr">
        <is>
          <t>A 13248-2026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46223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Kattfotslav
Fläcknycklar</t>
        </is>
      </c>
      <c r="V58">
        <f>HYPERLINK("https://klasma.github.io/Logging_2180/artfynd/A 13248-2026 artfynd.xlsx", "A 13248-2026")</f>
        <v/>
      </c>
      <c r="W58">
        <f>HYPERLINK("https://klasma.github.io/Logging_2180/kartor/A 13248-2026 karta.png", "A 13248-2026")</f>
        <v/>
      </c>
      <c r="X58">
        <f>HYPERLINK("https://klasma.github.io/Logging_2180/kartor_geotiff/A 13248-2026 georefererad karta.tif", "A 13248-2026")</f>
        <v/>
      </c>
      <c r="Z58">
        <f>HYPERLINK("https://klasma.github.io/Logging_2180/klagomål/A 13248-2026 FSC-klagomål.docx", "A 13248-2026")</f>
        <v/>
      </c>
      <c r="AA58">
        <f>HYPERLINK("https://klasma.github.io/Logging_2180/klagomålsmail/A 13248-2026 FSC-klagomål mail.docx", "A 13248-2026")</f>
        <v/>
      </c>
      <c r="AB58">
        <f>HYPERLINK("https://klasma.github.io/Logging_2180/tillsyn/A 13248-2026 tillsynsbegäran.docx", "A 13248-2026")</f>
        <v/>
      </c>
      <c r="AC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46223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Rödvingetrast
Nattskärra</t>
        </is>
      </c>
      <c r="V59">
        <f>HYPERLINK("https://klasma.github.io/Logging_2180/artfynd/A 19718-2026 artfynd.xlsx", "A 19718-2026")</f>
        <v/>
      </c>
      <c r="W59">
        <f>HYPERLINK("https://klasma.github.io/Logging_2180/kartor/A 19718-2026 karta.png", "A 19718-2026")</f>
        <v/>
      </c>
      <c r="X59">
        <f>HYPERLINK("https://klasma.github.io/Logging_2180/kartor_geotiff/A 19718-2026 georefererad karta.tif", "A 19718-2026")</f>
        <v/>
      </c>
      <c r="Z59">
        <f>HYPERLINK("https://klasma.github.io/Logging_2180/klagomål/A 19718-2026 FSC-klagomål.docx", "A 19718-2026")</f>
        <v/>
      </c>
      <c r="AA59">
        <f>HYPERLINK("https://klasma.github.io/Logging_2180/klagomålsmail/A 19718-2026 FSC-klagomål mail.docx", "A 19718-2026")</f>
        <v/>
      </c>
      <c r="AB59">
        <f>HYPERLINK("https://klasma.github.io/Logging_2180/tillsyn/A 19718-2026 tillsynsbegäran.docx", "A 19718-2026")</f>
        <v/>
      </c>
      <c r="AC59">
        <f>HYPERLINK("https://klasma.github.io/Logging_2180/tillsynsmail/A 19718-2026 tillsynsbegäran mail.docx", "A 19718-2026")</f>
        <v/>
      </c>
      <c r="AD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46223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s="2" t="inlineStr">
        <is>
          <t>Grön sköldmossa
Tjäder</t>
        </is>
      </c>
      <c r="V60">
        <f>HYPERLINK("https://klasma.github.io/Logging_2180/artfynd/A 20323-2026 artfynd.xlsx", "A 20323-2026")</f>
        <v/>
      </c>
      <c r="W60">
        <f>HYPERLINK("https://klasma.github.io/Logging_2180/kartor/A 20323-2026 karta.png", "A 20323-2026")</f>
        <v/>
      </c>
      <c r="X60">
        <f>HYPERLINK("https://klasma.github.io/Logging_2180/kartor_geotiff/A 20323-2026 georefererad karta.tif", "A 20323-2026")</f>
        <v/>
      </c>
      <c r="Z60">
        <f>HYPERLINK("https://klasma.github.io/Logging_2180/klagomål/A 20323-2026 FSC-klagomål.docx", "A 20323-2026")</f>
        <v/>
      </c>
      <c r="AA60">
        <f>HYPERLINK("https://klasma.github.io/Logging_2180/klagomålsmail/A 20323-2026 FSC-klagomål mail.docx", "A 20323-2026")</f>
        <v/>
      </c>
      <c r="AB60">
        <f>HYPERLINK("https://klasma.github.io/Logging_2180/tillsyn/A 20323-2026 tillsynsbegäran.docx", "A 20323-2026")</f>
        <v/>
      </c>
      <c r="AC60">
        <f>HYPERLINK("https://klasma.github.io/Logging_2180/tillsynsmail/A 20323-2026 tillsynsbegäran mail.docx", "A 20323-2026")</f>
        <v/>
      </c>
      <c r="AD60">
        <f>HYPERLINK("https://klasma.github.io/Logging_2180/fåglar/A 20323-2026 prioriterade fågelarter.docx", "A 20323-2026")</f>
        <v/>
      </c>
    </row>
    <row r="61" ht="15" customHeight="1">
      <c r="A61" t="inlineStr">
        <is>
          <t>A 27045-2026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46223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s="2" t="inlineStr">
        <is>
          <t>Höstlåsbräken
Månlåsbräken</t>
        </is>
      </c>
      <c r="V61">
        <f>HYPERLINK("https://klasma.github.io/Logging_2180/artfynd/A 27045-2026 artfynd.xlsx", "A 27045-2026")</f>
        <v/>
      </c>
      <c r="W61">
        <f>HYPERLINK("https://klasma.github.io/Logging_2180/kartor/A 27045-2026 karta.png", "A 27045-2026")</f>
        <v/>
      </c>
      <c r="X61">
        <f>HYPERLINK("https://klasma.github.io/Logging_2180/kartor_geotiff/A 27045-2026 georefererad karta.tif", "A 27045-2026")</f>
        <v/>
      </c>
      <c r="Z61">
        <f>HYPERLINK("https://klasma.github.io/Logging_2180/klagomål/A 27045-2026 FSC-klagomål.docx", "A 27045-2026")</f>
        <v/>
      </c>
      <c r="AA61">
        <f>HYPERLINK("https://klasma.github.io/Logging_2180/klagomålsmail/A 27045-2026 FSC-klagomål mail.docx", "A 27045-2026")</f>
        <v/>
      </c>
      <c r="AB61">
        <f>HYPERLINK("https://klasma.github.io/Logging_2180/tillsyn/A 27045-2026 tillsynsbegäran.docx", "A 27045-2026")</f>
        <v/>
      </c>
      <c r="AC61">
        <f>HYPERLINK("https://klasma.github.io/Logging_2180/tillsynsmail/A 27045-2026 tillsynsbegäran mail.docx", "A 27045-2026")</f>
        <v/>
      </c>
    </row>
    <row r="62" ht="15" customHeight="1">
      <c r="A62" t="inlineStr">
        <is>
          <t>A 27054-2026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46223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s="2" t="inlineStr">
        <is>
          <t>Garnlav
Kattfotslav</t>
        </is>
      </c>
      <c r="V62">
        <f>HYPERLINK("https://klasma.github.io/Logging_2180/artfynd/A 27054-2026 artfynd.xlsx", "A 27054-2026")</f>
        <v/>
      </c>
      <c r="W62">
        <f>HYPERLINK("https://klasma.github.io/Logging_2180/kartor/A 27054-2026 karta.png", "A 27054-2026")</f>
        <v/>
      </c>
      <c r="X62">
        <f>HYPERLINK("https://klasma.github.io/Logging_2180/kartor_geotiff/A 27054-2026 georefererad karta.tif", "A 27054-2026")</f>
        <v/>
      </c>
      <c r="Z62">
        <f>HYPERLINK("https://klasma.github.io/Logging_2180/klagomål/A 27054-2026 FSC-klagomål.docx", "A 27054-2026")</f>
        <v/>
      </c>
      <c r="AA62">
        <f>HYPERLINK("https://klasma.github.io/Logging_2180/klagomålsmail/A 27054-2026 FSC-klagomål mail.docx", "A 27054-2026")</f>
        <v/>
      </c>
      <c r="AB62">
        <f>HYPERLINK("https://klasma.github.io/Logging_2180/tillsyn/A 27054-2026 tillsynsbegäran.docx", "A 27054-2026")</f>
        <v/>
      </c>
      <c r="AC62">
        <f>HYPERLINK("https://klasma.github.io/Logging_2180/tillsynsmail/A 27054-2026 tillsynsbegäran mail.docx", "A 27054-2026")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46223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s="2" t="inlineStr">
        <is>
          <t>Tjäder
Fläcknycklar</t>
        </is>
      </c>
      <c r="V63">
        <f>HYPERLINK("https://klasma.github.io/Logging_2180/artfynd/A 14701-2026 artfynd.xlsx", "A 14701-2026")</f>
        <v/>
      </c>
      <c r="W63">
        <f>HYPERLINK("https://klasma.github.io/Logging_2180/kartor/A 14701-2026 karta.png", "A 14701-2026")</f>
        <v/>
      </c>
      <c r="X63">
        <f>HYPERLINK("https://klasma.github.io/Logging_2180/kartor_geotiff/A 14701-2026 georefererad karta.tif", "A 14701-2026")</f>
        <v/>
      </c>
      <c r="Z63">
        <f>HYPERLINK("https://klasma.github.io/Logging_2180/klagomål/A 14701-2026 FSC-klagomål.docx", "A 14701-2026")</f>
        <v/>
      </c>
      <c r="AA63">
        <f>HYPERLINK("https://klasma.github.io/Logging_2180/klagomålsmail/A 14701-2026 FSC-klagomål mail.docx", "A 14701-2026")</f>
        <v/>
      </c>
      <c r="AB63">
        <f>HYPERLINK("https://klasma.github.io/Logging_2180/tillsyn/A 14701-2026 tillsynsbegäran.docx", "A 14701-2026")</f>
        <v/>
      </c>
      <c r="AC63">
        <f>HYPERLINK("https://klasma.github.io/Logging_2180/tillsynsmail/A 14701-2026 tillsynsbegäran mail.docx", "A 14701-2026")</f>
        <v/>
      </c>
      <c r="AD63">
        <f>HYPERLINK("https://klasma.github.io/Logging_2180/fåglar/A 14701-2026 prioriterade fågelarter.docx", "A 14701-2026")</f>
        <v/>
      </c>
    </row>
    <row r="64" ht="15" customHeight="1">
      <c r="A64" t="inlineStr">
        <is>
          <t>A 13727-2025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46223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s="2" t="inlineStr">
        <is>
          <t>Ullticka
Järpe</t>
        </is>
      </c>
      <c r="V64">
        <f>HYPERLINK("https://klasma.github.io/Logging_2180/artfynd/A 13727-2025 artfynd.xlsx", "A 13727-2025")</f>
        <v/>
      </c>
      <c r="W64">
        <f>HYPERLINK("https://klasma.github.io/Logging_2180/kartor/A 13727-2025 karta.png", "A 13727-2025")</f>
        <v/>
      </c>
      <c r="X64">
        <f>HYPERLINK("https://klasma.github.io/Logging_2180/kartor_geotiff/A 13727-2025 georefererad karta.tif", "A 13727-2025")</f>
        <v/>
      </c>
      <c r="Z64">
        <f>HYPERLINK("https://klasma.github.io/Logging_2180/klagomål/A 13727-2025 FSC-klagomål.docx", "A 13727-2025")</f>
        <v/>
      </c>
      <c r="AA64">
        <f>HYPERLINK("https://klasma.github.io/Logging_2180/klagomålsmail/A 13727-2025 FSC-klagomål mail.docx", "A 13727-2025")</f>
        <v/>
      </c>
      <c r="AB64">
        <f>HYPERLINK("https://klasma.github.io/Logging_2180/tillsyn/A 13727-2025 tillsynsbegäran.docx", "A 13727-2025")</f>
        <v/>
      </c>
      <c r="AC64">
        <f>HYPERLINK("https://klasma.github.io/Logging_2180/tillsynsmail/A 13727-2025 tillsynsbegäran mail.docx", "A 13727-2025")</f>
        <v/>
      </c>
      <c r="AD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46223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Knärot
Jättesvampmal</t>
        </is>
      </c>
      <c r="V65">
        <f>HYPERLINK("https://klasma.github.io/Logging_2180/artfynd/A 35989-2024 artfynd.xlsx", "A 35989-2024")</f>
        <v/>
      </c>
      <c r="W65">
        <f>HYPERLINK("https://klasma.github.io/Logging_2180/kartor/A 35989-2024 karta.png", "A 35989-2024")</f>
        <v/>
      </c>
      <c r="X65">
        <f>HYPERLINK("https://klasma.github.io/Logging_2180/kartor_geotiff/A 35989-2024 georefererad karta.tif", "A 35989-2024")</f>
        <v/>
      </c>
      <c r="Y65">
        <f>HYPERLINK("https://klasma.github.io/Logging_2180/knärot/A 35989-2024 karta knärot.png", "A 35989-2024")</f>
        <v/>
      </c>
      <c r="Z65">
        <f>HYPERLINK("https://klasma.github.io/Logging_2180/klagomål/A 35989-2024 FSC-klagomål.docx", "A 35989-2024")</f>
        <v/>
      </c>
      <c r="AA65">
        <f>HYPERLINK("https://klasma.github.io/Logging_2180/klagomålsmail/A 35989-2024 FSC-klagomål mail.docx", "A 35989-2024")</f>
        <v/>
      </c>
      <c r="AB65">
        <f>HYPERLINK("https://klasma.github.io/Logging_2180/tillsyn/A 35989-2024 tillsynsbegäran.docx", "A 35989-2024")</f>
        <v/>
      </c>
      <c r="AC65">
        <f>HYPERLINK("https://klasma.github.io/Logging_2180/tillsynsmail/A 35989-2024 tillsynsbegäran mail.docx", "A 35989-2024")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46223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Vedtrappmossa
Rödgul trumpetsvamp</t>
        </is>
      </c>
      <c r="V66">
        <f>HYPERLINK("https://klasma.github.io/Logging_2180/artfynd/A 22149-2026 artfynd.xlsx", "A 22149-2026")</f>
        <v/>
      </c>
      <c r="W66">
        <f>HYPERLINK("https://klasma.github.io/Logging_2180/kartor/A 22149-2026 karta.png", "A 22149-2026")</f>
        <v/>
      </c>
      <c r="X66">
        <f>HYPERLINK("https://klasma.github.io/Logging_2180/kartor_geotiff/A 22149-2026 georefererad karta.tif", "A 22149-2026")</f>
        <v/>
      </c>
      <c r="Z66">
        <f>HYPERLINK("https://klasma.github.io/Logging_2180/klagomål/A 22149-2026 FSC-klagomål.docx", "A 22149-2026")</f>
        <v/>
      </c>
      <c r="AA66">
        <f>HYPERLINK("https://klasma.github.io/Logging_2180/klagomålsmail/A 22149-2026 FSC-klagomål mail.docx", "A 22149-2026")</f>
        <v/>
      </c>
      <c r="AB66">
        <f>HYPERLINK("https://klasma.github.io/Logging_2180/tillsyn/A 22149-2026 tillsynsbegäran.docx", "A 22149-2026")</f>
        <v/>
      </c>
      <c r="AC66">
        <f>HYPERLINK("https://klasma.github.io/Logging_2180/tillsynsmail/A 22149-2026 tillsynsbegäran mail.docx", "A 22149-2026")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46223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Slåtterfibbla
Blåsippa</t>
        </is>
      </c>
      <c r="V67">
        <f>HYPERLINK("https://klasma.github.io/Logging_2180/artfynd/A 17297-2026 artfynd.xlsx", "A 17297-2026")</f>
        <v/>
      </c>
      <c r="W67">
        <f>HYPERLINK("https://klasma.github.io/Logging_2180/kartor/A 17297-2026 karta.png", "A 17297-2026")</f>
        <v/>
      </c>
      <c r="X67">
        <f>HYPERLINK("https://klasma.github.io/Logging_2180/kartor_geotiff/A 17297-2026 georefererad karta.tif", "A 17297-2026")</f>
        <v/>
      </c>
      <c r="Z67">
        <f>HYPERLINK("https://klasma.github.io/Logging_2180/klagomål/A 17297-2026 FSC-klagomål.docx", "A 17297-2026")</f>
        <v/>
      </c>
      <c r="AA67">
        <f>HYPERLINK("https://klasma.github.io/Logging_2180/klagomålsmail/A 17297-2026 FSC-klagomål mail.docx", "A 17297-2026")</f>
        <v/>
      </c>
      <c r="AB67">
        <f>HYPERLINK("https://klasma.github.io/Logging_2180/tillsyn/A 17297-2026 tillsynsbegäran.docx", "A 17297-2026")</f>
        <v/>
      </c>
      <c r="AC67">
        <f>HYPERLINK("https://klasma.github.io/Logging_2180/tillsynsmail/A 17297-2026 tillsynsbegäran mail.docx", "A 17297-2026")</f>
        <v/>
      </c>
    </row>
    <row r="68" ht="15" customHeight="1">
      <c r="A68" t="inlineStr">
        <is>
          <t>A 29821-2023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46223</v>
      </c>
      <c r="F68" t="inlineStr">
        <is>
          <t>GÄVLEBORGS LÄN</t>
        </is>
      </c>
      <c r="G68" t="inlineStr">
        <is>
          <t>GÄVLE</t>
        </is>
      </c>
      <c r="I68" t="n">
        <v>5.3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Järnsparv
Svartvit flugsnappare</t>
        </is>
      </c>
      <c r="V68">
        <f>HYPERLINK("https://klasma.github.io/Logging_2180/artfynd/A 29821-2023 artfynd.xlsx", "A 29821-2023")</f>
        <v/>
      </c>
      <c r="W68">
        <f>HYPERLINK("https://klasma.github.io/Logging_2180/kartor/A 29821-2023 karta.png", "A 29821-2023")</f>
        <v/>
      </c>
      <c r="X68">
        <f>HYPERLINK("https://klasma.github.io/Logging_2180/kartor_geotiff/A 29821-2023 georefererad karta.tif", "A 29821-2023")</f>
        <v/>
      </c>
      <c r="Z68">
        <f>HYPERLINK("https://klasma.github.io/Logging_2180/klagomål/A 29821-2023 FSC-klagomål.docx", "A 29821-2023")</f>
        <v/>
      </c>
      <c r="AA68">
        <f>HYPERLINK("https://klasma.github.io/Logging_2180/klagomålsmail/A 29821-2023 FSC-klagomål mail.docx", "A 29821-2023")</f>
        <v/>
      </c>
      <c r="AB68">
        <f>HYPERLINK("https://klasma.github.io/Logging_2180/tillsyn/A 29821-2023 tillsynsbegäran.docx", "A 29821-2023")</f>
        <v/>
      </c>
      <c r="AC68">
        <f>HYPERLINK("https://klasma.github.io/Logging_2180/tillsynsmail/A 29821-2023 tillsynsbegäran mail.docx", "A 29821-2023")</f>
        <v/>
      </c>
      <c r="AD68">
        <f>HYPERLINK("https://klasma.github.io/Logging_2180/fåglar/A 29821-2023 prioriterade fågelarter.docx", "A 29821-2023")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46223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Brunag
Strandlummer</t>
        </is>
      </c>
      <c r="V69">
        <f>HYPERLINK("https://klasma.github.io/Logging_2180/artfynd/A 29634-2026 artfynd.xlsx", "A 29634-2026")</f>
        <v/>
      </c>
      <c r="W69">
        <f>HYPERLINK("https://klasma.github.io/Logging_2180/kartor/A 29634-2026 karta.png", "A 29634-2026")</f>
        <v/>
      </c>
      <c r="X69">
        <f>HYPERLINK("https://klasma.github.io/Logging_2180/kartor_geotiff/A 29634-2026 georefererad karta.tif", "A 29634-2026")</f>
        <v/>
      </c>
      <c r="Z69">
        <f>HYPERLINK("https://klasma.github.io/Logging_2180/klagomål/A 29634-2026 FSC-klagomål.docx", "A 29634-2026")</f>
        <v/>
      </c>
      <c r="AA69">
        <f>HYPERLINK("https://klasma.github.io/Logging_2180/klagomålsmail/A 29634-2026 FSC-klagomål mail.docx", "A 29634-2026")</f>
        <v/>
      </c>
      <c r="AB69">
        <f>HYPERLINK("https://klasma.github.io/Logging_2180/tillsyn/A 29634-2026 tillsynsbegäran.docx", "A 29634-2026")</f>
        <v/>
      </c>
      <c r="AC69">
        <f>HYPERLINK("https://klasma.github.io/Logging_2180/tillsynsmail/A 29634-2026 tillsynsbegäran mail.docx", "A 29634-2026")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Kattfotslav
Havsörn</t>
        </is>
      </c>
      <c r="V70">
        <f>HYPERLINK("https://klasma.github.io/Logging_2180/artfynd/A 23257-2026 artfynd.xlsx", "A 23257-2026")</f>
        <v/>
      </c>
      <c r="W70">
        <f>HYPERLINK("https://klasma.github.io/Logging_2180/kartor/A 23257-2026 karta.png", "A 23257-2026")</f>
        <v/>
      </c>
      <c r="X70">
        <f>HYPERLINK("https://klasma.github.io/Logging_2180/kartor_geotiff/A 23257-2026 georefererad karta.tif", "A 23257-2026")</f>
        <v/>
      </c>
      <c r="Z70">
        <f>HYPERLINK("https://klasma.github.io/Logging_2180/klagomål/A 23257-2026 FSC-klagomål.docx", "A 23257-2026")</f>
        <v/>
      </c>
      <c r="AA70">
        <f>HYPERLINK("https://klasma.github.io/Logging_2180/klagomålsmail/A 23257-2026 FSC-klagomål mail.docx", "A 23257-2026")</f>
        <v/>
      </c>
      <c r="AB70">
        <f>HYPERLINK("https://klasma.github.io/Logging_2180/tillsyn/A 23257-2026 tillsynsbegäran.docx", "A 23257-2026")</f>
        <v/>
      </c>
      <c r="AC70">
        <f>HYPERLINK("https://klasma.github.io/Logging_2180/tillsynsmail/A 23257-2026 tillsynsbegäran mail.docx", "A 23257-2026")</f>
        <v/>
      </c>
      <c r="AD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46223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Kattfotslav</t>
        </is>
      </c>
      <c r="V71">
        <f>HYPERLINK("https://klasma.github.io/Logging_2180/artfynd/A 24310-2026 artfynd.xlsx", "A 24310-2026")</f>
        <v/>
      </c>
      <c r="W71">
        <f>HYPERLINK("https://klasma.github.io/Logging_2180/kartor/A 24310-2026 karta.png", "A 24310-2026")</f>
        <v/>
      </c>
      <c r="X71">
        <f>HYPERLINK("https://klasma.github.io/Logging_2180/kartor_geotiff/A 24310-2026 georefererad karta.tif", "A 24310-2026")</f>
        <v/>
      </c>
      <c r="Z71">
        <f>HYPERLINK("https://klasma.github.io/Logging_2180/klagomål/A 24310-2026 FSC-klagomål.docx", "A 24310-2026")</f>
        <v/>
      </c>
      <c r="AA71">
        <f>HYPERLINK("https://klasma.github.io/Logging_2180/klagomålsmail/A 24310-2026 FSC-klagomål mail.docx", "A 24310-2026")</f>
        <v/>
      </c>
      <c r="AB71">
        <f>HYPERLINK("https://klasma.github.io/Logging_2180/tillsyn/A 24310-2026 tillsynsbegäran.docx", "A 24310-2026")</f>
        <v/>
      </c>
      <c r="AC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46223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s="2" t="inlineStr">
        <is>
          <t>Höstlåsbräken
Månlåsbräken</t>
        </is>
      </c>
      <c r="V72">
        <f>HYPERLINK("https://klasma.github.io/Logging_2180/artfynd/A 24915-2026 artfynd.xlsx", "A 24915-2026")</f>
        <v/>
      </c>
      <c r="W72">
        <f>HYPERLINK("https://klasma.github.io/Logging_2180/kartor/A 24915-2026 karta.png", "A 24915-2026")</f>
        <v/>
      </c>
      <c r="X72">
        <f>HYPERLINK("https://klasma.github.io/Logging_2180/kartor_geotiff/A 24915-2026 georefererad karta.tif", "A 24915-2026")</f>
        <v/>
      </c>
      <c r="Z72">
        <f>HYPERLINK("https://klasma.github.io/Logging_2180/klagomål/A 24915-2026 FSC-klagomål.docx", "A 24915-2026")</f>
        <v/>
      </c>
      <c r="AA72">
        <f>HYPERLINK("https://klasma.github.io/Logging_2180/klagomålsmail/A 24915-2026 FSC-klagomål mail.docx", "A 24915-2026")</f>
        <v/>
      </c>
      <c r="AB72">
        <f>HYPERLINK("https://klasma.github.io/Logging_2180/tillsyn/A 24915-2026 tillsynsbegäran.docx", "A 24915-2026")</f>
        <v/>
      </c>
      <c r="AC72">
        <f>HYPERLINK("https://klasma.github.io/Logging_2180/tillsynsmail/A 24915-2026 tillsynsbegäran mail.docx", "A 24915-2026")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46223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s="2" t="inlineStr">
        <is>
          <t>Aspvedgnagare
Jättesvampmal</t>
        </is>
      </c>
      <c r="V73">
        <f>HYPERLINK("https://klasma.github.io/Logging_2180/artfynd/A 64533-2023 artfynd.xlsx", "A 64533-2023")</f>
        <v/>
      </c>
      <c r="W73">
        <f>HYPERLINK("https://klasma.github.io/Logging_2180/kartor/A 64533-2023 karta.png", "A 64533-2023")</f>
        <v/>
      </c>
      <c r="X73">
        <f>HYPERLINK("https://klasma.github.io/Logging_2180/kartor_geotiff/A 64533-2023 georefererad karta.tif", "A 64533-2023")</f>
        <v/>
      </c>
      <c r="Z73">
        <f>HYPERLINK("https://klasma.github.io/Logging_2180/klagomål/A 64533-2023 FSC-klagomål.docx", "A 64533-2023")</f>
        <v/>
      </c>
      <c r="AA73">
        <f>HYPERLINK("https://klasma.github.io/Logging_2180/klagomålsmail/A 64533-2023 FSC-klagomål mail.docx", "A 64533-2023")</f>
        <v/>
      </c>
      <c r="AB73">
        <f>HYPERLINK("https://klasma.github.io/Logging_2180/tillsyn/A 64533-2023 tillsynsbegäran.docx", "A 64533-2023")</f>
        <v/>
      </c>
      <c r="AC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46223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Kopparödla
Fläcknycklar</t>
        </is>
      </c>
      <c r="V74">
        <f>HYPERLINK("https://klasma.github.io/Logging_2180/artfynd/A 23447-2025 artfynd.xlsx", "A 23447-2025")</f>
        <v/>
      </c>
      <c r="W74">
        <f>HYPERLINK("https://klasma.github.io/Logging_2180/kartor/A 23447-2025 karta.png", "A 23447-2025")</f>
        <v/>
      </c>
      <c r="X74">
        <f>HYPERLINK("https://klasma.github.io/Logging_2180/kartor_geotiff/A 23447-2025 georefererad karta.tif", "A 23447-2025")</f>
        <v/>
      </c>
      <c r="Z74">
        <f>HYPERLINK("https://klasma.github.io/Logging_2180/klagomål/A 23447-2025 FSC-klagomål.docx", "A 23447-2025")</f>
        <v/>
      </c>
      <c r="AA74">
        <f>HYPERLINK("https://klasma.github.io/Logging_2180/klagomålsmail/A 23447-2025 FSC-klagomål mail.docx", "A 23447-2025")</f>
        <v/>
      </c>
      <c r="AB74">
        <f>HYPERLINK("https://klasma.github.io/Logging_2180/tillsyn/A 23447-2025 tillsynsbegäran.docx", "A 23447-2025")</f>
        <v/>
      </c>
      <c r="AC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X75">
        <f>HYPERLINK("https://klasma.github.io/Logging_2180/kartor_geotiff/S 403-2025 georefererad karta.tif", "S 403-2025")</f>
        <v/>
      </c>
      <c r="Z75">
        <f>HYPERLINK("https://klasma.github.io/Logging_2180/klagomål/S 403-2025 FSC-klagomål.docx", "S 403-2025")</f>
        <v/>
      </c>
      <c r="AA75">
        <f>HYPERLINK("https://klasma.github.io/Logging_2180/klagomålsmail/S 403-2025 FSC-klagomål mail.docx", "S 403-2025")</f>
        <v/>
      </c>
      <c r="AB75">
        <f>HYPERLINK("https://klasma.github.io/Logging_2180/tillsyn/S 403-2025 tillsynsbegäran.docx", "S 403-2025")</f>
        <v/>
      </c>
      <c r="AC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46223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X76">
        <f>HYPERLINK("https://klasma.github.io/Logging_2180/kartor_geotiff/A 15102-2022 georefererad karta.tif", "A 15102-2022")</f>
        <v/>
      </c>
      <c r="Z76">
        <f>HYPERLINK("https://klasma.github.io/Logging_2180/klagomål/A 15102-2022 FSC-klagomål.docx", "A 15102-2022")</f>
        <v/>
      </c>
      <c r="AA76">
        <f>HYPERLINK("https://klasma.github.io/Logging_2180/klagomålsmail/A 15102-2022 FSC-klagomål mail.docx", "A 15102-2022")</f>
        <v/>
      </c>
      <c r="AB76">
        <f>HYPERLINK("https://klasma.github.io/Logging_2180/tillsyn/A 15102-2022 tillsynsbegäran.docx", "A 15102-2022")</f>
        <v/>
      </c>
      <c r="AC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46223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Större vattensalamander</t>
        </is>
      </c>
      <c r="V77">
        <f>HYPERLINK("https://klasma.github.io/Logging_2180/artfynd/A 13227-2024 artfynd.xlsx", "A 13227-2024")</f>
        <v/>
      </c>
      <c r="W77">
        <f>HYPERLINK("https://klasma.github.io/Logging_2180/kartor/A 13227-2024 karta.png", "A 13227-2024")</f>
        <v/>
      </c>
      <c r="X77">
        <f>HYPERLINK("https://klasma.github.io/Logging_2180/kartor_geotiff/A 13227-2024 georefererad karta.tif", "A 13227-2024")</f>
        <v/>
      </c>
      <c r="Z77">
        <f>HYPERLINK("https://klasma.github.io/Logging_2180/klagomål/A 13227-2024 FSC-klagomål.docx", "A 13227-2024")</f>
        <v/>
      </c>
      <c r="AA77">
        <f>HYPERLINK("https://klasma.github.io/Logging_2180/klagomålsmail/A 13227-2024 FSC-klagomål mail.docx", "A 13227-2024")</f>
        <v/>
      </c>
      <c r="AB77">
        <f>HYPERLINK("https://klasma.github.io/Logging_2180/tillsyn/A 13227-2024 tillsynsbegäran.docx", "A 13227-2024")</f>
        <v/>
      </c>
      <c r="AC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46223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Slåtterfibbla</t>
        </is>
      </c>
      <c r="V78">
        <f>HYPERLINK("https://klasma.github.io/Logging_2180/artfynd/A 32254-2023 artfynd.xlsx", "A 32254-2023")</f>
        <v/>
      </c>
      <c r="W78">
        <f>HYPERLINK("https://klasma.github.io/Logging_2180/kartor/A 32254-2023 karta.png", "A 32254-2023")</f>
        <v/>
      </c>
      <c r="X78">
        <f>HYPERLINK("https://klasma.github.io/Logging_2180/kartor_geotiff/A 32254-2023 georefererad karta.tif", "A 32254-2023")</f>
        <v/>
      </c>
      <c r="Z78">
        <f>HYPERLINK("https://klasma.github.io/Logging_2180/klagomål/A 32254-2023 FSC-klagomål.docx", "A 32254-2023")</f>
        <v/>
      </c>
      <c r="AA78">
        <f>HYPERLINK("https://klasma.github.io/Logging_2180/klagomålsmail/A 32254-2023 FSC-klagomål mail.docx", "A 32254-2023")</f>
        <v/>
      </c>
      <c r="AB78">
        <f>HYPERLINK("https://klasma.github.io/Logging_2180/tillsyn/A 32254-2023 tillsynsbegäran.docx", "A 32254-2023")</f>
        <v/>
      </c>
      <c r="AC78">
        <f>HYPERLINK("https://klasma.github.io/Logging_2180/tillsynsmail/A 32254-2023 tillsynsbegäran mail.docx", "A 32254-2023")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46223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Skogsklocka</t>
        </is>
      </c>
      <c r="V79">
        <f>HYPERLINK("https://klasma.github.io/Logging_2180/artfynd/A 12338-2025 artfynd.xlsx", "A 12338-2025")</f>
        <v/>
      </c>
      <c r="W79">
        <f>HYPERLINK("https://klasma.github.io/Logging_2180/kartor/A 12338-2025 karta.png", "A 12338-2025")</f>
        <v/>
      </c>
      <c r="X79">
        <f>HYPERLINK("https://klasma.github.io/Logging_2180/kartor_geotiff/A 12338-2025 georefererad karta.tif", "A 12338-2025")</f>
        <v/>
      </c>
      <c r="Z79">
        <f>HYPERLINK("https://klasma.github.io/Logging_2180/klagomål/A 12338-2025 FSC-klagomål.docx", "A 12338-2025")</f>
        <v/>
      </c>
      <c r="AA79">
        <f>HYPERLINK("https://klasma.github.io/Logging_2180/klagomålsmail/A 12338-2025 FSC-klagomål mail.docx", "A 12338-2025")</f>
        <v/>
      </c>
      <c r="AB79">
        <f>HYPERLINK("https://klasma.github.io/Logging_2180/tillsyn/A 12338-2025 tillsynsbegäran.docx", "A 12338-2025")</f>
        <v/>
      </c>
      <c r="AC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46223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Ullticka</t>
        </is>
      </c>
      <c r="V80">
        <f>HYPERLINK("https://klasma.github.io/Logging_2180/artfynd/A 38550-2025 artfynd.xlsx", "A 38550-2025")</f>
        <v/>
      </c>
      <c r="W80">
        <f>HYPERLINK("https://klasma.github.io/Logging_2180/kartor/A 38550-2025 karta.png", "A 38550-2025")</f>
        <v/>
      </c>
      <c r="X80">
        <f>HYPERLINK("https://klasma.github.io/Logging_2180/kartor_geotiff/A 38550-2025 georefererad karta.tif", "A 38550-2025")</f>
        <v/>
      </c>
      <c r="Z80">
        <f>HYPERLINK("https://klasma.github.io/Logging_2180/klagomål/A 38550-2025 FSC-klagomål.docx", "A 38550-2025")</f>
        <v/>
      </c>
      <c r="AA80">
        <f>HYPERLINK("https://klasma.github.io/Logging_2180/klagomålsmail/A 38550-2025 FSC-klagomål mail.docx", "A 38550-2025")</f>
        <v/>
      </c>
      <c r="AB80">
        <f>HYPERLINK("https://klasma.github.io/Logging_2180/tillsyn/A 38550-2025 tillsynsbegäran.docx", "A 38550-2025")</f>
        <v/>
      </c>
      <c r="AC80">
        <f>HYPERLINK("https://klasma.github.io/Logging_2180/tillsynsmail/A 38550-2025 tillsynsbegäran mail.docx", "A 38550-2025")</f>
        <v/>
      </c>
    </row>
    <row r="81" ht="15" customHeight="1">
      <c r="A81" t="inlineStr">
        <is>
          <t>A 26157-2022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44735</v>
      </c>
      <c r="E81" s="1" t="n">
        <v>46223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Mattlummer</t>
        </is>
      </c>
      <c r="V81">
        <f>HYPERLINK("https://klasma.github.io/Logging_2180/artfynd/A 26157-2022 artfynd.xlsx", "A 26157-2022")</f>
        <v/>
      </c>
      <c r="W81">
        <f>HYPERLINK("https://klasma.github.io/Logging_2180/kartor/A 26157-2022 karta.png", "A 26157-2022")</f>
        <v/>
      </c>
      <c r="X81">
        <f>HYPERLINK("https://klasma.github.io/Logging_2180/kartor_geotiff/A 26157-2022 georefererad karta.tif", "A 26157-2022")</f>
        <v/>
      </c>
      <c r="Z81">
        <f>HYPERLINK("https://klasma.github.io/Logging_2180/klagomål/A 26157-2022 FSC-klagomål.docx", "A 26157-2022")</f>
        <v/>
      </c>
      <c r="AA81">
        <f>HYPERLINK("https://klasma.github.io/Logging_2180/klagomålsmail/A 26157-2022 FSC-klagomål mail.docx", "A 26157-2022")</f>
        <v/>
      </c>
      <c r="AB81">
        <f>HYPERLINK("https://klasma.github.io/Logging_2180/tillsyn/A 26157-2022 tillsynsbegäran.docx", "A 26157-2022")</f>
        <v/>
      </c>
      <c r="AC81">
        <f>HYPERLINK("https://klasma.github.io/Logging_2180/tillsynsmail/A 26157-2022 tillsynsbegäran mail.docx", "A 26157-2022")</f>
        <v/>
      </c>
    </row>
    <row r="82" ht="15" customHeight="1">
      <c r="A82" t="inlineStr">
        <is>
          <t>A 63288-2025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46223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Scharlakansskål</t>
        </is>
      </c>
      <c r="V82">
        <f>HYPERLINK("https://klasma.github.io/Logging_2180/artfynd/A 63288-2025 artfynd.xlsx", "A 63288-2025")</f>
        <v/>
      </c>
      <c r="W82">
        <f>HYPERLINK("https://klasma.github.io/Logging_2180/kartor/A 63288-2025 karta.png", "A 63288-2025")</f>
        <v/>
      </c>
      <c r="X82">
        <f>HYPERLINK("https://klasma.github.io/Logging_2180/kartor_geotiff/A 63288-2025 georefererad karta.tif", "A 63288-2025")</f>
        <v/>
      </c>
      <c r="Z82">
        <f>HYPERLINK("https://klasma.github.io/Logging_2180/klagomål/A 63288-2025 FSC-klagomål.docx", "A 63288-2025")</f>
        <v/>
      </c>
      <c r="AA82">
        <f>HYPERLINK("https://klasma.github.io/Logging_2180/klagomålsmail/A 63288-2025 FSC-klagomål mail.docx", "A 63288-2025")</f>
        <v/>
      </c>
      <c r="AB82">
        <f>HYPERLINK("https://klasma.github.io/Logging_2180/tillsyn/A 63288-2025 tillsynsbegäran.docx", "A 63288-2025")</f>
        <v/>
      </c>
      <c r="AC82">
        <f>HYPERLINK("https://klasma.github.io/Logging_2180/tillsynsmail/A 63288-2025 tillsynsbegäran mail.docx", "A 63288-2025")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46223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Tibast</t>
        </is>
      </c>
      <c r="V83">
        <f>HYPERLINK("https://klasma.github.io/Logging_2180/artfynd/A 51508-2024 artfynd.xlsx", "A 51508-2024")</f>
        <v/>
      </c>
      <c r="W83">
        <f>HYPERLINK("https://klasma.github.io/Logging_2180/kartor/A 51508-2024 karta.png", "A 51508-2024")</f>
        <v/>
      </c>
      <c r="X83">
        <f>HYPERLINK("https://klasma.github.io/Logging_2180/kartor_geotiff/A 51508-2024 georefererad karta.tif", "A 51508-2024")</f>
        <v/>
      </c>
      <c r="Z83">
        <f>HYPERLINK("https://klasma.github.io/Logging_2180/klagomål/A 51508-2024 FSC-klagomål.docx", "A 51508-2024")</f>
        <v/>
      </c>
      <c r="AA83">
        <f>HYPERLINK("https://klasma.github.io/Logging_2180/klagomålsmail/A 51508-2024 FSC-klagomål mail.docx", "A 51508-2024")</f>
        <v/>
      </c>
      <c r="AB83">
        <f>HYPERLINK("https://klasma.github.io/Logging_2180/tillsyn/A 51508-2024 tillsynsbegäran.docx", "A 51508-2024")</f>
        <v/>
      </c>
      <c r="AC83">
        <f>HYPERLINK("https://klasma.github.io/Logging_2180/tillsynsmail/A 51508-2024 tillsynsbegäran mail.docx", "A 51508-2024")</f>
        <v/>
      </c>
    </row>
    <row r="84" ht="15" customHeight="1">
      <c r="A84" t="inlineStr">
        <is>
          <t>A 30302-2025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46223</v>
      </c>
      <c r="F84" t="inlineStr">
        <is>
          <t>GÄVLEBORGS LÄN</t>
        </is>
      </c>
      <c r="G84" t="inlineStr">
        <is>
          <t>GÄVLE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Fläcknycklar</t>
        </is>
      </c>
      <c r="V84">
        <f>HYPERLINK("https://klasma.github.io/Logging_2180/artfynd/A 30302-2025 artfynd.xlsx", "A 30302-2025")</f>
        <v/>
      </c>
      <c r="W84">
        <f>HYPERLINK("https://klasma.github.io/Logging_2180/kartor/A 30302-2025 karta.png", "A 30302-2025")</f>
        <v/>
      </c>
      <c r="X84">
        <f>HYPERLINK("https://klasma.github.io/Logging_2180/kartor_geotiff/A 30302-2025 georefererad karta.tif", "A 30302-2025")</f>
        <v/>
      </c>
      <c r="Z84">
        <f>HYPERLINK("https://klasma.github.io/Logging_2180/klagomål/A 30302-2025 FSC-klagomål.docx", "A 30302-2025")</f>
        <v/>
      </c>
      <c r="AA84">
        <f>HYPERLINK("https://klasma.github.io/Logging_2180/klagomålsmail/A 30302-2025 FSC-klagomål mail.docx", "A 30302-2025")</f>
        <v/>
      </c>
      <c r="AB84">
        <f>HYPERLINK("https://klasma.github.io/Logging_2180/tillsyn/A 30302-2025 tillsynsbegäran.docx", "A 30302-2025")</f>
        <v/>
      </c>
      <c r="AC84">
        <f>HYPERLINK("https://klasma.github.io/Logging_2180/tillsynsmail/A 30302-2025 tillsynsbegäran mail.docx", "A 30302-2025")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46223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Ängsblåvinge</t>
        </is>
      </c>
      <c r="V85">
        <f>HYPERLINK("https://klasma.github.io/Logging_2180/artfynd/A 15001-2023 artfynd.xlsx", "A 15001-2023")</f>
        <v/>
      </c>
      <c r="W85">
        <f>HYPERLINK("https://klasma.github.io/Logging_2180/kartor/A 15001-2023 karta.png", "A 15001-2023")</f>
        <v/>
      </c>
      <c r="X85">
        <f>HYPERLINK("https://klasma.github.io/Logging_2180/kartor_geotiff/A 15001-2023 georefererad karta.tif", "A 15001-2023")</f>
        <v/>
      </c>
      <c r="Z85">
        <f>HYPERLINK("https://klasma.github.io/Logging_2180/klagomål/A 15001-2023 FSC-klagomål.docx", "A 15001-2023")</f>
        <v/>
      </c>
      <c r="AA85">
        <f>HYPERLINK("https://klasma.github.io/Logging_2180/klagomålsmail/A 15001-2023 FSC-klagomål mail.docx", "A 15001-2023")</f>
        <v/>
      </c>
      <c r="AB85">
        <f>HYPERLINK("https://klasma.github.io/Logging_2180/tillsyn/A 15001-2023 tillsynsbegäran.docx", "A 15001-2023")</f>
        <v/>
      </c>
      <c r="AC85">
        <f>HYPERLINK("https://klasma.github.io/Logging_2180/tillsynsmail/A 15001-2023 tillsynsbegäran mail.docx", "A 15001-2023")</f>
        <v/>
      </c>
    </row>
    <row r="86" ht="15" customHeight="1">
      <c r="A86" t="inlineStr">
        <is>
          <t>A 28875-2025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46223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43.3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Revlummer</t>
        </is>
      </c>
      <c r="V86">
        <f>HYPERLINK("https://klasma.github.io/Logging_2180/artfynd/A 28875-2025 artfynd.xlsx", "A 28875-2025")</f>
        <v/>
      </c>
      <c r="W86">
        <f>HYPERLINK("https://klasma.github.io/Logging_2180/kartor/A 28875-2025 karta.png", "A 28875-2025")</f>
        <v/>
      </c>
      <c r="X86">
        <f>HYPERLINK("https://klasma.github.io/Logging_2180/kartor_geotiff/A 28875-2025 georefererad karta.tif", "A 28875-2025")</f>
        <v/>
      </c>
      <c r="Z86">
        <f>HYPERLINK("https://klasma.github.io/Logging_2180/klagomål/A 28875-2025 FSC-klagomål.docx", "A 28875-2025")</f>
        <v/>
      </c>
      <c r="AA86">
        <f>HYPERLINK("https://klasma.github.io/Logging_2180/klagomålsmail/A 28875-2025 FSC-klagomål mail.docx", "A 28875-2025")</f>
        <v/>
      </c>
      <c r="AB86">
        <f>HYPERLINK("https://klasma.github.io/Logging_2180/tillsyn/A 28875-2025 tillsynsbegäran.docx", "A 28875-2025")</f>
        <v/>
      </c>
      <c r="AC86">
        <f>HYPERLINK("https://klasma.github.io/Logging_2180/tillsynsmail/A 28875-2025 tillsynsbegäran mail.docx", "A 28875-2025")</f>
        <v/>
      </c>
    </row>
    <row r="87" ht="15" customHeight="1">
      <c r="A87" t="inlineStr">
        <is>
          <t>A 49393-2025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46223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Revlummer</t>
        </is>
      </c>
      <c r="V87">
        <f>HYPERLINK("https://klasma.github.io/Logging_2180/artfynd/A 49393-2025 artfynd.xlsx", "A 49393-2025")</f>
        <v/>
      </c>
      <c r="W87">
        <f>HYPERLINK("https://klasma.github.io/Logging_2180/kartor/A 49393-2025 karta.png", "A 49393-2025")</f>
        <v/>
      </c>
      <c r="X87">
        <f>HYPERLINK("https://klasma.github.io/Logging_2180/kartor_geotiff/A 49393-2025 georefererad karta.tif", "A 49393-2025")</f>
        <v/>
      </c>
      <c r="Z87">
        <f>HYPERLINK("https://klasma.github.io/Logging_2180/klagomål/A 49393-2025 FSC-klagomål.docx", "A 49393-2025")</f>
        <v/>
      </c>
      <c r="AA87">
        <f>HYPERLINK("https://klasma.github.io/Logging_2180/klagomålsmail/A 49393-2025 FSC-klagomål mail.docx", "A 49393-2025")</f>
        <v/>
      </c>
      <c r="AB87">
        <f>HYPERLINK("https://klasma.github.io/Logging_2180/tillsyn/A 49393-2025 tillsynsbegäran.docx", "A 49393-2025")</f>
        <v/>
      </c>
      <c r="AC87">
        <f>HYPERLINK("https://klasma.github.io/Logging_2180/tillsynsmail/A 49393-2025 tillsynsbegäran mail.docx", "A 49393-2025")</f>
        <v/>
      </c>
    </row>
    <row r="88" ht="15" customHeight="1">
      <c r="A88" t="inlineStr">
        <is>
          <t>A 11411-2025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46223</v>
      </c>
      <c r="F88" t="inlineStr">
        <is>
          <t>GÄVLEBORGS LÄN</t>
        </is>
      </c>
      <c r="G88" t="inlineStr">
        <is>
          <t>GÄVLE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Blåsippa</t>
        </is>
      </c>
      <c r="V88">
        <f>HYPERLINK("https://klasma.github.io/Logging_2180/artfynd/A 11411-2025 artfynd.xlsx", "A 11411-2025")</f>
        <v/>
      </c>
      <c r="W88">
        <f>HYPERLINK("https://klasma.github.io/Logging_2180/kartor/A 11411-2025 karta.png", "A 11411-2025")</f>
        <v/>
      </c>
      <c r="X88">
        <f>HYPERLINK("https://klasma.github.io/Logging_2180/kartor_geotiff/A 11411-2025 georefererad karta.tif", "A 11411-2025")</f>
        <v/>
      </c>
      <c r="Z88">
        <f>HYPERLINK("https://klasma.github.io/Logging_2180/klagomål/A 11411-2025 FSC-klagomål.docx", "A 11411-2025")</f>
        <v/>
      </c>
      <c r="AA88">
        <f>HYPERLINK("https://klasma.github.io/Logging_2180/klagomålsmail/A 11411-2025 FSC-klagomål mail.docx", "A 11411-2025")</f>
        <v/>
      </c>
      <c r="AB88">
        <f>HYPERLINK("https://klasma.github.io/Logging_2180/tillsyn/A 11411-2025 tillsynsbegäran.docx", "A 11411-2025")</f>
        <v/>
      </c>
      <c r="AC88">
        <f>HYPERLINK("https://klasma.github.io/Logging_2180/tillsynsmail/A 11411-2025 tillsynsbegäran mail.docx", "A 11411-2025")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46223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Kattfotslav</t>
        </is>
      </c>
      <c r="V89">
        <f>HYPERLINK("https://klasma.github.io/Logging_2180/artfynd/A 63036-2023 artfynd.xlsx", "A 63036-2023")</f>
        <v/>
      </c>
      <c r="W89">
        <f>HYPERLINK("https://klasma.github.io/Logging_2180/kartor/A 63036-2023 karta.png", "A 63036-2023")</f>
        <v/>
      </c>
      <c r="X89">
        <f>HYPERLINK("https://klasma.github.io/Logging_2180/kartor_geotiff/A 63036-2023 georefererad karta.tif", "A 63036-2023")</f>
        <v/>
      </c>
      <c r="Z89">
        <f>HYPERLINK("https://klasma.github.io/Logging_2180/klagomål/A 63036-2023 FSC-klagomål.docx", "A 63036-2023")</f>
        <v/>
      </c>
      <c r="AA89">
        <f>HYPERLINK("https://klasma.github.io/Logging_2180/klagomålsmail/A 63036-2023 FSC-klagomål mail.docx", "A 63036-2023")</f>
        <v/>
      </c>
      <c r="AB89">
        <f>HYPERLINK("https://klasma.github.io/Logging_2180/tillsyn/A 63036-2023 tillsynsbegäran.docx", "A 63036-2023")</f>
        <v/>
      </c>
      <c r="AC89">
        <f>HYPERLINK("https://klasma.github.io/Logging_2180/tillsynsmail/A 63036-2023 tillsynsbegäran mail.docx", "A 63036-2023")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46223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Myggblomster</t>
        </is>
      </c>
      <c r="V90">
        <f>HYPERLINK("https://klasma.github.io/Logging_2180/artfynd/A 61056-2024 artfynd.xlsx", "A 61056-2024")</f>
        <v/>
      </c>
      <c r="W90">
        <f>HYPERLINK("https://klasma.github.io/Logging_2180/kartor/A 61056-2024 karta.png", "A 61056-2024")</f>
        <v/>
      </c>
      <c r="X90">
        <f>HYPERLINK("https://klasma.github.io/Logging_2180/kartor_geotiff/A 61056-2024 georefererad karta.tif", "A 61056-2024")</f>
        <v/>
      </c>
      <c r="Z90">
        <f>HYPERLINK("https://klasma.github.io/Logging_2180/klagomål/A 61056-2024 FSC-klagomål.docx", "A 61056-2024")</f>
        <v/>
      </c>
      <c r="AA90">
        <f>HYPERLINK("https://klasma.github.io/Logging_2180/klagomålsmail/A 61056-2024 FSC-klagomål mail.docx", "A 61056-2024")</f>
        <v/>
      </c>
      <c r="AB90">
        <f>HYPERLINK("https://klasma.github.io/Logging_2180/tillsyn/A 61056-2024 tillsynsbegäran.docx", "A 61056-2024")</f>
        <v/>
      </c>
      <c r="AC90">
        <f>HYPERLINK("https://klasma.github.io/Logging_2180/tillsynsmail/A 61056-2024 tillsynsbegäran mail.docx", "A 61056-2024")</f>
        <v/>
      </c>
    </row>
    <row r="91" ht="15" customHeight="1">
      <c r="A91" t="inlineStr">
        <is>
          <t>A 12083-2025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46223</v>
      </c>
      <c r="F91" t="inlineStr">
        <is>
          <t>GÄVLEBORGS LÄN</t>
        </is>
      </c>
      <c r="G91" t="inlineStr">
        <is>
          <t>GÄVLE</t>
        </is>
      </c>
      <c r="I91" t="n">
        <v>6.3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Grönsiska</t>
        </is>
      </c>
      <c r="V91">
        <f>HYPERLINK("https://klasma.github.io/Logging_2180/artfynd/A 12083-2025 artfynd.xlsx", "A 12083-2025")</f>
        <v/>
      </c>
      <c r="W91">
        <f>HYPERLINK("https://klasma.github.io/Logging_2180/kartor/A 12083-2025 karta.png", "A 12083-2025")</f>
        <v/>
      </c>
      <c r="X91">
        <f>HYPERLINK("https://klasma.github.io/Logging_2180/kartor_geotiff/A 12083-2025 georefererad karta.tif", "A 12083-2025")</f>
        <v/>
      </c>
      <c r="Z91">
        <f>HYPERLINK("https://klasma.github.io/Logging_2180/klagomål/A 12083-2025 FSC-klagomål.docx", "A 12083-2025")</f>
        <v/>
      </c>
      <c r="AA91">
        <f>HYPERLINK("https://klasma.github.io/Logging_2180/klagomålsmail/A 12083-2025 FSC-klagomål mail.docx", "A 12083-2025")</f>
        <v/>
      </c>
      <c r="AB91">
        <f>HYPERLINK("https://klasma.github.io/Logging_2180/tillsyn/A 12083-2025 tillsynsbegäran.docx", "A 12083-2025")</f>
        <v/>
      </c>
      <c r="AC91">
        <f>HYPERLINK("https://klasma.github.io/Logging_2180/tillsynsmail/A 12083-2025 tillsynsbegäran mail.docx", "A 12083-2025")</f>
        <v/>
      </c>
    </row>
    <row r="92" ht="15" customHeight="1">
      <c r="A92" t="inlineStr">
        <is>
          <t>A 11407-2025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46223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Myskmadra</t>
        </is>
      </c>
      <c r="V92">
        <f>HYPERLINK("https://klasma.github.io/Logging_2180/artfynd/A 11407-2025 artfynd.xlsx", "A 11407-2025")</f>
        <v/>
      </c>
      <c r="W92">
        <f>HYPERLINK("https://klasma.github.io/Logging_2180/kartor/A 11407-2025 karta.png", "A 11407-2025")</f>
        <v/>
      </c>
      <c r="X92">
        <f>HYPERLINK("https://klasma.github.io/Logging_2180/kartor_geotiff/A 11407-2025 georefererad karta.tif", "A 11407-2025")</f>
        <v/>
      </c>
      <c r="Z92">
        <f>HYPERLINK("https://klasma.github.io/Logging_2180/klagomål/A 11407-2025 FSC-klagomål.docx", "A 11407-2025")</f>
        <v/>
      </c>
      <c r="AA92">
        <f>HYPERLINK("https://klasma.github.io/Logging_2180/klagomålsmail/A 11407-2025 FSC-klagomål mail.docx", "A 11407-2025")</f>
        <v/>
      </c>
      <c r="AB92">
        <f>HYPERLINK("https://klasma.github.io/Logging_2180/tillsyn/A 11407-2025 tillsynsbegäran.docx", "A 11407-2025")</f>
        <v/>
      </c>
      <c r="AC92">
        <f>HYPERLINK("https://klasma.github.io/Logging_2180/tillsynsmail/A 11407-2025 tillsynsbegäran mail.docx", "A 11407-2025")</f>
        <v/>
      </c>
    </row>
    <row r="93" ht="15" customHeight="1">
      <c r="A93" t="inlineStr">
        <is>
          <t>A 45241-2022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22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HYPERLINK("https://klasma.github.io/Logging_2180/artfynd/A 45241-2022 artfynd.xlsx", "A 45241-2022")</f>
        <v/>
      </c>
      <c r="W93">
        <f>HYPERLINK("https://klasma.github.io/Logging_2180/kartor/A 45241-2022 karta.png", "A 45241-2022")</f>
        <v/>
      </c>
      <c r="X93">
        <f>HYPERLINK("https://klasma.github.io/Logging_2180/kartor_geotiff/A 45241-2022 georefererad karta.tif", "A 45241-2022")</f>
        <v/>
      </c>
      <c r="Z93">
        <f>HYPERLINK("https://klasma.github.io/Logging_2180/klagomål/A 45241-2022 FSC-klagomål.docx", "A 45241-2022")</f>
        <v/>
      </c>
      <c r="AA93">
        <f>HYPERLINK("https://klasma.github.io/Logging_2180/klagomålsmail/A 45241-2022 FSC-klagomål mail.docx", "A 45241-2022")</f>
        <v/>
      </c>
      <c r="AB93">
        <f>HYPERLINK("https://klasma.github.io/Logging_2180/tillsyn/A 45241-2022 tillsynsbegäran.docx", "A 45241-2022")</f>
        <v/>
      </c>
      <c r="AC93">
        <f>HYPERLINK("https://klasma.github.io/Logging_2180/tillsynsmail/A 45241-2022 tillsynsbegäran mail.docx", "A 45241-2022")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46223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Ask</t>
        </is>
      </c>
      <c r="V94">
        <f>HYPERLINK("https://klasma.github.io/Logging_2180/artfynd/A 54252-2025 artfynd.xlsx", "A 54252-2025")</f>
        <v/>
      </c>
      <c r="W94">
        <f>HYPERLINK("https://klasma.github.io/Logging_2180/kartor/A 54252-2025 karta.png", "A 54252-2025")</f>
        <v/>
      </c>
      <c r="X94">
        <f>HYPERLINK("https://klasma.github.io/Logging_2180/kartor_geotiff/A 54252-2025 georefererad karta.tif", "A 54252-2025")</f>
        <v/>
      </c>
      <c r="Z94">
        <f>HYPERLINK("https://klasma.github.io/Logging_2180/klagomål/A 54252-2025 FSC-klagomål.docx", "A 54252-2025")</f>
        <v/>
      </c>
      <c r="AA94">
        <f>HYPERLINK("https://klasma.github.io/Logging_2180/klagomålsmail/A 54252-2025 FSC-klagomål mail.docx", "A 54252-2025")</f>
        <v/>
      </c>
      <c r="AB94">
        <f>HYPERLINK("https://klasma.github.io/Logging_2180/tillsyn/A 54252-2025 tillsynsbegäran.docx", "A 54252-2025")</f>
        <v/>
      </c>
      <c r="AC94">
        <f>HYPERLINK("https://klasma.github.io/Logging_2180/tillsynsmail/A 54252-2025 tillsynsbegäran mail.docx", "A 54252-2025")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46223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Tjäder</t>
        </is>
      </c>
      <c r="V95">
        <f>HYPERLINK("https://klasma.github.io/Logging_2180/artfynd/A 10333-2025 artfynd.xlsx", "A 10333-2025")</f>
        <v/>
      </c>
      <c r="W95">
        <f>HYPERLINK("https://klasma.github.io/Logging_2180/kartor/A 10333-2025 karta.png", "A 10333-2025")</f>
        <v/>
      </c>
      <c r="X95">
        <f>HYPERLINK("https://klasma.github.io/Logging_2180/kartor_geotiff/A 10333-2025 georefererad karta.tif", "A 10333-2025")</f>
        <v/>
      </c>
      <c r="Z95">
        <f>HYPERLINK("https://klasma.github.io/Logging_2180/klagomål/A 10333-2025 FSC-klagomål.docx", "A 10333-2025")</f>
        <v/>
      </c>
      <c r="AA95">
        <f>HYPERLINK("https://klasma.github.io/Logging_2180/klagomålsmail/A 10333-2025 FSC-klagomål mail.docx", "A 10333-2025")</f>
        <v/>
      </c>
      <c r="AB95">
        <f>HYPERLINK("https://klasma.github.io/Logging_2180/tillsyn/A 10333-2025 tillsynsbegäran.docx", "A 10333-2025")</f>
        <v/>
      </c>
      <c r="AC95">
        <f>HYPERLINK("https://klasma.github.io/Logging_2180/tillsynsmail/A 10333-2025 tillsynsbegäran mail.docx", "A 10333-2025")</f>
        <v/>
      </c>
      <c r="AD95">
        <f>HYPERLINK("https://klasma.github.io/Logging_2180/fåglar/A 10333-2025 prioriterade fågelarter.docx", "A 10333-2025")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46223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Revlummer</t>
        </is>
      </c>
      <c r="V96">
        <f>HYPERLINK("https://klasma.github.io/Logging_2180/artfynd/A 54963-2025 artfynd.xlsx", "A 54963-2025")</f>
        <v/>
      </c>
      <c r="W96">
        <f>HYPERLINK("https://klasma.github.io/Logging_2180/kartor/A 54963-2025 karta.png", "A 54963-2025")</f>
        <v/>
      </c>
      <c r="X96">
        <f>HYPERLINK("https://klasma.github.io/Logging_2180/kartor_geotiff/A 54963-2025 georefererad karta.tif", "A 54963-2025")</f>
        <v/>
      </c>
      <c r="Z96">
        <f>HYPERLINK("https://klasma.github.io/Logging_2180/klagomål/A 54963-2025 FSC-klagomål.docx", "A 54963-2025")</f>
        <v/>
      </c>
      <c r="AA96">
        <f>HYPERLINK("https://klasma.github.io/Logging_2180/klagomålsmail/A 54963-2025 FSC-klagomål mail.docx", "A 54963-2025")</f>
        <v/>
      </c>
      <c r="AB96">
        <f>HYPERLINK("https://klasma.github.io/Logging_2180/tillsyn/A 54963-2025 tillsynsbegäran.docx", "A 54963-2025")</f>
        <v/>
      </c>
      <c r="AC96">
        <f>HYPERLINK("https://klasma.github.io/Logging_2180/tillsynsmail/A 54963-2025 tillsynsbegäran mail.docx", "A 54963-2025")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46223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s="2" t="inlineStr">
        <is>
          <t>Mosippa</t>
        </is>
      </c>
      <c r="V97">
        <f>HYPERLINK("https://klasma.github.io/Logging_2180/artfynd/A 50052-2025 artfynd.xlsx", "A 50052-2025")</f>
        <v/>
      </c>
      <c r="W97">
        <f>HYPERLINK("https://klasma.github.io/Logging_2180/kartor/A 50052-2025 karta.png", "A 50052-2025")</f>
        <v/>
      </c>
      <c r="X97">
        <f>HYPERLINK("https://klasma.github.io/Logging_2180/kartor_geotiff/A 50052-2025 georefererad karta.tif", "A 50052-2025")</f>
        <v/>
      </c>
      <c r="Z97">
        <f>HYPERLINK("https://klasma.github.io/Logging_2180/klagomål/A 50052-2025 FSC-klagomål.docx", "A 50052-2025")</f>
        <v/>
      </c>
      <c r="AA97">
        <f>HYPERLINK("https://klasma.github.io/Logging_2180/klagomålsmail/A 50052-2025 FSC-klagomål mail.docx", "A 50052-2025")</f>
        <v/>
      </c>
      <c r="AB97">
        <f>HYPERLINK("https://klasma.github.io/Logging_2180/tillsyn/A 50052-2025 tillsynsbegäran.docx", "A 50052-2025")</f>
        <v/>
      </c>
      <c r="AC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46223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HYPERLINK("https://klasma.github.io/Logging_2180/artfynd/A 58204-2025 artfynd.xlsx", "A 58204-2025")</f>
        <v/>
      </c>
      <c r="W98">
        <f>HYPERLINK("https://klasma.github.io/Logging_2180/kartor/A 58204-2025 karta.png", "A 58204-2025")</f>
        <v/>
      </c>
      <c r="X98">
        <f>HYPERLINK("https://klasma.github.io/Logging_2180/kartor_geotiff/A 58204-2025 georefererad karta.tif", "A 58204-2025")</f>
        <v/>
      </c>
      <c r="Z98">
        <f>HYPERLINK("https://klasma.github.io/Logging_2180/klagomål/A 58204-2025 FSC-klagomål.docx", "A 58204-2025")</f>
        <v/>
      </c>
      <c r="AA98">
        <f>HYPERLINK("https://klasma.github.io/Logging_2180/klagomålsmail/A 58204-2025 FSC-klagomål mail.docx", "A 58204-2025")</f>
        <v/>
      </c>
      <c r="AB98">
        <f>HYPERLINK("https://klasma.github.io/Logging_2180/tillsyn/A 58204-2025 tillsynsbegäran.docx", "A 58204-2025")</f>
        <v/>
      </c>
      <c r="AC98">
        <f>HYPERLINK("https://klasma.github.io/Logging_2180/tillsynsmail/A 58204-2025 tillsynsbegäran mail.docx", "A 58204-2025")</f>
        <v/>
      </c>
      <c r="AD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46223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Igelkott</t>
        </is>
      </c>
      <c r="V99">
        <f>HYPERLINK("https://klasma.github.io/Logging_2180/artfynd/A 13684-2026 artfynd.xlsx", "A 13684-2026")</f>
        <v/>
      </c>
      <c r="W99">
        <f>HYPERLINK("https://klasma.github.io/Logging_2180/kartor/A 13684-2026 karta.png", "A 13684-2026")</f>
        <v/>
      </c>
      <c r="X99">
        <f>HYPERLINK("https://klasma.github.io/Logging_2180/kartor_geotiff/A 13684-2026 georefererad karta.tif", "A 13684-2026")</f>
        <v/>
      </c>
      <c r="Z99">
        <f>HYPERLINK("https://klasma.github.io/Logging_2180/klagomål/A 13684-2026 FSC-klagomål.docx", "A 13684-2026")</f>
        <v/>
      </c>
      <c r="AA99">
        <f>HYPERLINK("https://klasma.github.io/Logging_2180/klagomålsmail/A 13684-2026 FSC-klagomål mail.docx", "A 13684-2026")</f>
        <v/>
      </c>
      <c r="AB99">
        <f>HYPERLINK("https://klasma.github.io/Logging_2180/tillsyn/A 13684-2026 tillsynsbegäran.docx", "A 13684-2026")</f>
        <v/>
      </c>
      <c r="AC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46223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Skogsklocka</t>
        </is>
      </c>
      <c r="V100">
        <f>HYPERLINK("https://klasma.github.io/Logging_2180/artfynd/A 5409-2023 artfynd.xlsx", "A 5409-2023")</f>
        <v/>
      </c>
      <c r="W100">
        <f>HYPERLINK("https://klasma.github.io/Logging_2180/kartor/A 5409-2023 karta.png", "A 5409-2023")</f>
        <v/>
      </c>
      <c r="X100">
        <f>HYPERLINK("https://klasma.github.io/Logging_2180/kartor_geotiff/A 5409-2023 georefererad karta.tif", "A 5409-2023")</f>
        <v/>
      </c>
      <c r="Z100">
        <f>HYPERLINK("https://klasma.github.io/Logging_2180/klagomål/A 5409-2023 FSC-klagomål.docx", "A 5409-2023")</f>
        <v/>
      </c>
      <c r="AA100">
        <f>HYPERLINK("https://klasma.github.io/Logging_2180/klagomålsmail/A 5409-2023 FSC-klagomål mail.docx", "A 5409-2023")</f>
        <v/>
      </c>
      <c r="AB100">
        <f>HYPERLINK("https://klasma.github.io/Logging_2180/tillsyn/A 5409-2023 tillsynsbegäran.docx", "A 5409-2023")</f>
        <v/>
      </c>
      <c r="AC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46223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Skogsklocka</t>
        </is>
      </c>
      <c r="V101">
        <f>HYPERLINK("https://klasma.github.io/Logging_2180/artfynd/A 5415-2023 artfynd.xlsx", "A 5415-2023")</f>
        <v/>
      </c>
      <c r="W101">
        <f>HYPERLINK("https://klasma.github.io/Logging_2180/kartor/A 5415-2023 karta.png", "A 5415-2023")</f>
        <v/>
      </c>
      <c r="X101">
        <f>HYPERLINK("https://klasma.github.io/Logging_2180/kartor_geotiff/A 5415-2023 georefererad karta.tif", "A 5415-2023")</f>
        <v/>
      </c>
      <c r="Z101">
        <f>HYPERLINK("https://klasma.github.io/Logging_2180/klagomål/A 5415-2023 FSC-klagomål.docx", "A 5415-2023")</f>
        <v/>
      </c>
      <c r="AA101">
        <f>HYPERLINK("https://klasma.github.io/Logging_2180/klagomålsmail/A 5415-2023 FSC-klagomål mail.docx", "A 5415-2023")</f>
        <v/>
      </c>
      <c r="AB101">
        <f>HYPERLINK("https://klasma.github.io/Logging_2180/tillsyn/A 5415-2023 tillsynsbegäran.docx", "A 5415-2023")</f>
        <v/>
      </c>
      <c r="AC101">
        <f>HYPERLINK("https://klasma.github.io/Logging_2180/tillsynsmail/A 5415-2023 tillsynsbegäran mail.docx", "A 5415-2023")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46223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HYPERLINK("https://klasma.github.io/Logging_2180/artfynd/A 17251-2026 artfynd.xlsx", "A 17251-2026")</f>
        <v/>
      </c>
      <c r="W102">
        <f>HYPERLINK("https://klasma.github.io/Logging_2180/kartor/A 17251-2026 karta.png", "A 17251-2026")</f>
        <v/>
      </c>
      <c r="X102">
        <f>HYPERLINK("https://klasma.github.io/Logging_2180/kartor_geotiff/A 17251-2026 georefererad karta.tif", "A 17251-2026")</f>
        <v/>
      </c>
      <c r="Z102">
        <f>HYPERLINK("https://klasma.github.io/Logging_2180/klagomål/A 17251-2026 FSC-klagomål.docx", "A 17251-2026")</f>
        <v/>
      </c>
      <c r="AA102">
        <f>HYPERLINK("https://klasma.github.io/Logging_2180/klagomålsmail/A 17251-2026 FSC-klagomål mail.docx", "A 17251-2026")</f>
        <v/>
      </c>
      <c r="AB102">
        <f>HYPERLINK("https://klasma.github.io/Logging_2180/tillsyn/A 17251-2026 tillsynsbegäran.docx", "A 17251-2026")</f>
        <v/>
      </c>
      <c r="AC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18060-2026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46223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24.4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Fläcknycklar</t>
        </is>
      </c>
      <c r="V103">
        <f>HYPERLINK("https://klasma.github.io/Logging_2180/artfynd/A 18060-2026 artfynd.xlsx", "A 18060-2026")</f>
        <v/>
      </c>
      <c r="W103">
        <f>HYPERLINK("https://klasma.github.io/Logging_2180/kartor/A 18060-2026 karta.png", "A 18060-2026")</f>
        <v/>
      </c>
      <c r="X103">
        <f>HYPERLINK("https://klasma.github.io/Logging_2180/kartor_geotiff/A 18060-2026 georefererad karta.tif", "A 18060-2026")</f>
        <v/>
      </c>
      <c r="Z103">
        <f>HYPERLINK("https://klasma.github.io/Logging_2180/klagomål/A 18060-2026 FSC-klagomål.docx", "A 18060-2026")</f>
        <v/>
      </c>
      <c r="AA103">
        <f>HYPERLINK("https://klasma.github.io/Logging_2180/klagomålsmail/A 18060-2026 FSC-klagomål mail.docx", "A 18060-2026")</f>
        <v/>
      </c>
      <c r="AB103">
        <f>HYPERLINK("https://klasma.github.io/Logging_2180/tillsyn/A 18060-2026 tillsynsbegäran.docx", "A 18060-2026")</f>
        <v/>
      </c>
      <c r="AC103">
        <f>HYPERLINK("https://klasma.github.io/Logging_2180/tillsynsmail/A 18060-2026 tillsynsbegäran mail.docx", "A 18060-2026")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46223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Skinnlav</t>
        </is>
      </c>
      <c r="V104">
        <f>HYPERLINK("https://klasma.github.io/Logging_2180/artfynd/A 19635-2026 artfynd.xlsx", "A 19635-2026")</f>
        <v/>
      </c>
      <c r="W104">
        <f>HYPERLINK("https://klasma.github.io/Logging_2180/kartor/A 19635-2026 karta.png", "A 19635-2026")</f>
        <v/>
      </c>
      <c r="X104">
        <f>HYPERLINK("https://klasma.github.io/Logging_2180/kartor_geotiff/A 19635-2026 georefererad karta.tif", "A 19635-2026")</f>
        <v/>
      </c>
      <c r="Z104">
        <f>HYPERLINK("https://klasma.github.io/Logging_2180/klagomål/A 19635-2026 FSC-klagomål.docx", "A 19635-2026")</f>
        <v/>
      </c>
      <c r="AA104">
        <f>HYPERLINK("https://klasma.github.io/Logging_2180/klagomålsmail/A 19635-2026 FSC-klagomål mail.docx", "A 19635-2026")</f>
        <v/>
      </c>
      <c r="AB104">
        <f>HYPERLINK("https://klasma.github.io/Logging_2180/tillsyn/A 19635-2026 tillsynsbegäran.docx", "A 19635-2026")</f>
        <v/>
      </c>
      <c r="AC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21282-2024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45440</v>
      </c>
      <c r="E105" s="1" t="n">
        <v>46223</v>
      </c>
      <c r="F105" t="inlineStr">
        <is>
          <t>GÄVLEBORGS LÄN</t>
        </is>
      </c>
      <c r="G105" t="inlineStr">
        <is>
          <t>GÄVLE</t>
        </is>
      </c>
      <c r="I105" t="n">
        <v>7.4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s="2" t="inlineStr">
        <is>
          <t>Skogsklocka</t>
        </is>
      </c>
      <c r="V105">
        <f>HYPERLINK("https://klasma.github.io/Logging_2180/artfynd/A 21282-2024 artfynd.xlsx", "A 21282-2024")</f>
        <v/>
      </c>
      <c r="W105">
        <f>HYPERLINK("https://klasma.github.io/Logging_2180/kartor/A 21282-2024 karta.png", "A 21282-2024")</f>
        <v/>
      </c>
      <c r="X105">
        <f>HYPERLINK("https://klasma.github.io/Logging_2180/kartor_geotiff/A 21282-2024 georefererad karta.tif", "A 21282-2024")</f>
        <v/>
      </c>
      <c r="Z105">
        <f>HYPERLINK("https://klasma.github.io/Logging_2180/klagomål/A 21282-2024 FSC-klagomål.docx", "A 21282-2024")</f>
        <v/>
      </c>
      <c r="AA105">
        <f>HYPERLINK("https://klasma.github.io/Logging_2180/klagomålsmail/A 21282-2024 FSC-klagomål mail.docx", "A 21282-2024")</f>
        <v/>
      </c>
      <c r="AB105">
        <f>HYPERLINK("https://klasma.github.io/Logging_2180/tillsyn/A 21282-2024 tillsynsbegäran.docx", "A 21282-2024")</f>
        <v/>
      </c>
      <c r="AC105">
        <f>HYPERLINK("https://klasma.github.io/Logging_2180/tillsynsmail/A 21282-2024 tillsynsbegäran mail.docx", "A 21282-2024")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46223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HYPERLINK("https://klasma.github.io/Logging_2180/artfynd/A 13396-2026 artfynd.xlsx", "A 13396-2026")</f>
        <v/>
      </c>
      <c r="W106">
        <f>HYPERLINK("https://klasma.github.io/Logging_2180/kartor/A 13396-2026 karta.png", "A 13396-2026")</f>
        <v/>
      </c>
      <c r="X106">
        <f>HYPERLINK("https://klasma.github.io/Logging_2180/kartor_geotiff/A 13396-2026 georefererad karta.tif", "A 13396-2026")</f>
        <v/>
      </c>
      <c r="Z106">
        <f>HYPERLINK("https://klasma.github.io/Logging_2180/klagomål/A 13396-2026 FSC-klagomål.docx", "A 13396-2026")</f>
        <v/>
      </c>
      <c r="AA106">
        <f>HYPERLINK("https://klasma.github.io/Logging_2180/klagomålsmail/A 13396-2026 FSC-klagomål mail.docx", "A 13396-2026")</f>
        <v/>
      </c>
      <c r="AB106">
        <f>HYPERLINK("https://klasma.github.io/Logging_2180/tillsyn/A 13396-2026 tillsynsbegäran.docx", "A 13396-2026")</f>
        <v/>
      </c>
      <c r="AC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46223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Tjäder</t>
        </is>
      </c>
      <c r="V107">
        <f>HYPERLINK("https://klasma.github.io/Logging_2180/artfynd/A 57932-2024 artfynd.xlsx", "A 57932-2024")</f>
        <v/>
      </c>
      <c r="W107">
        <f>HYPERLINK("https://klasma.github.io/Logging_2180/kartor/A 57932-2024 karta.png", "A 57932-2024")</f>
        <v/>
      </c>
      <c r="X107">
        <f>HYPERLINK("https://klasma.github.io/Logging_2180/kartor_geotiff/A 57932-2024 georefererad karta.tif", "A 57932-2024")</f>
        <v/>
      </c>
      <c r="Z107">
        <f>HYPERLINK("https://klasma.github.io/Logging_2180/klagomål/A 57932-2024 FSC-klagomål.docx", "A 57932-2024")</f>
        <v/>
      </c>
      <c r="AA107">
        <f>HYPERLINK("https://klasma.github.io/Logging_2180/klagomålsmail/A 57932-2024 FSC-klagomål mail.docx", "A 57932-2024")</f>
        <v/>
      </c>
      <c r="AB107">
        <f>HYPERLINK("https://klasma.github.io/Logging_2180/tillsyn/A 57932-2024 tillsynsbegäran.docx", "A 57932-2024")</f>
        <v/>
      </c>
      <c r="AC107">
        <f>HYPERLINK("https://klasma.github.io/Logging_2180/tillsynsmail/A 57932-2024 tillsynsbegäran mail.docx", "A 57932-2024")</f>
        <v/>
      </c>
      <c r="AD107">
        <f>HYPERLINK("https://klasma.github.io/Logging_2180/fåglar/A 57932-2024 prioriterade fågelarter.docx", "A 57932-2024")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46223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Tjäder</t>
        </is>
      </c>
      <c r="V108">
        <f>HYPERLINK("https://klasma.github.io/Logging_2180/artfynd/A 14730-2026 artfynd.xlsx", "A 14730-2026")</f>
        <v/>
      </c>
      <c r="W108">
        <f>HYPERLINK("https://klasma.github.io/Logging_2180/kartor/A 14730-2026 karta.png", "A 14730-2026")</f>
        <v/>
      </c>
      <c r="X108">
        <f>HYPERLINK("https://klasma.github.io/Logging_2180/kartor_geotiff/A 14730-2026 georefererad karta.tif", "A 14730-2026")</f>
        <v/>
      </c>
      <c r="Z108">
        <f>HYPERLINK("https://klasma.github.io/Logging_2180/klagomål/A 14730-2026 FSC-klagomål.docx", "A 14730-2026")</f>
        <v/>
      </c>
      <c r="AA108">
        <f>HYPERLINK("https://klasma.github.io/Logging_2180/klagomålsmail/A 14730-2026 FSC-klagomål mail.docx", "A 14730-2026")</f>
        <v/>
      </c>
      <c r="AB108">
        <f>HYPERLINK("https://klasma.github.io/Logging_2180/tillsyn/A 14730-2026 tillsynsbegäran.docx", "A 14730-2026")</f>
        <v/>
      </c>
      <c r="AC108">
        <f>HYPERLINK("https://klasma.github.io/Logging_2180/tillsynsmail/A 14730-2026 tillsynsbegäran mail.docx", "A 14730-2026")</f>
        <v/>
      </c>
      <c r="AD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46223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Blanksvart spiklav</t>
        </is>
      </c>
      <c r="V109">
        <f>HYPERLINK("https://klasma.github.io/Logging_2180/artfynd/A 14711-2026 artfynd.xlsx", "A 14711-2026")</f>
        <v/>
      </c>
      <c r="W109">
        <f>HYPERLINK("https://klasma.github.io/Logging_2180/kartor/A 14711-2026 karta.png", "A 14711-2026")</f>
        <v/>
      </c>
      <c r="X109">
        <f>HYPERLINK("https://klasma.github.io/Logging_2180/kartor_geotiff/A 14711-2026 georefererad karta.tif", "A 14711-2026")</f>
        <v/>
      </c>
      <c r="Z109">
        <f>HYPERLINK("https://klasma.github.io/Logging_2180/klagomål/A 14711-2026 FSC-klagomål.docx", "A 14711-2026")</f>
        <v/>
      </c>
      <c r="AA109">
        <f>HYPERLINK("https://klasma.github.io/Logging_2180/klagomålsmail/A 14711-2026 FSC-klagomål mail.docx", "A 14711-2026")</f>
        <v/>
      </c>
      <c r="AB109">
        <f>HYPERLINK("https://klasma.github.io/Logging_2180/tillsyn/A 14711-2026 tillsynsbegäran.docx", "A 14711-2026")</f>
        <v/>
      </c>
      <c r="AC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46223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s="2" t="inlineStr">
        <is>
          <t>Tjäder</t>
        </is>
      </c>
      <c r="V110">
        <f>HYPERLINK("https://klasma.github.io/Logging_2180/artfynd/A 14714-2026 artfynd.xlsx", "A 14714-2026")</f>
        <v/>
      </c>
      <c r="W110">
        <f>HYPERLINK("https://klasma.github.io/Logging_2180/kartor/A 14714-2026 karta.png", "A 14714-2026")</f>
        <v/>
      </c>
      <c r="X110">
        <f>HYPERLINK("https://klasma.github.io/Logging_2180/kartor_geotiff/A 14714-2026 georefererad karta.tif", "A 14714-2026")</f>
        <v/>
      </c>
      <c r="Z110">
        <f>HYPERLINK("https://klasma.github.io/Logging_2180/klagomål/A 14714-2026 FSC-klagomål.docx", "A 14714-2026")</f>
        <v/>
      </c>
      <c r="AA110">
        <f>HYPERLINK("https://klasma.github.io/Logging_2180/klagomålsmail/A 14714-2026 FSC-klagomål mail.docx", "A 14714-2026")</f>
        <v/>
      </c>
      <c r="AB110">
        <f>HYPERLINK("https://klasma.github.io/Logging_2180/tillsyn/A 14714-2026 tillsynsbegäran.docx", "A 14714-2026")</f>
        <v/>
      </c>
      <c r="AC110">
        <f>HYPERLINK("https://klasma.github.io/Logging_2180/tillsynsmail/A 14714-2026 tillsynsbegäran mail.docx", "A 14714-2026")</f>
        <v/>
      </c>
      <c r="AD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46223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Älg</t>
        </is>
      </c>
      <c r="V111">
        <f>HYPERLINK("https://klasma.github.io/Logging_2180/artfynd/A 10064-2025 artfynd.xlsx", "A 10064-2025")</f>
        <v/>
      </c>
      <c r="W111">
        <f>HYPERLINK("https://klasma.github.io/Logging_2180/kartor/A 10064-2025 karta.png", "A 10064-2025")</f>
        <v/>
      </c>
      <c r="X111">
        <f>HYPERLINK("https://klasma.github.io/Logging_2180/kartor_geotiff/A 10064-2025 georefererad karta.tif", "A 10064-2025")</f>
        <v/>
      </c>
      <c r="Z111">
        <f>HYPERLINK("https://klasma.github.io/Logging_2180/klagomål/A 10064-2025 FSC-klagomål.docx", "A 10064-2025")</f>
        <v/>
      </c>
      <c r="AA111">
        <f>HYPERLINK("https://klasma.github.io/Logging_2180/klagomålsmail/A 10064-2025 FSC-klagomål mail.docx", "A 10064-2025")</f>
        <v/>
      </c>
      <c r="AB111">
        <f>HYPERLINK("https://klasma.github.io/Logging_2180/tillsyn/A 10064-2025 tillsynsbegäran.docx", "A 10064-2025")</f>
        <v/>
      </c>
      <c r="AC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46223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HYPERLINK("https://klasma.github.io/Logging_2180/artfynd/A 20734-2026 artfynd.xlsx", "A 20734-2026")</f>
        <v/>
      </c>
      <c r="W112">
        <f>HYPERLINK("https://klasma.github.io/Logging_2180/kartor/A 20734-2026 karta.png", "A 20734-2026")</f>
        <v/>
      </c>
      <c r="X112">
        <f>HYPERLINK("https://klasma.github.io/Logging_2180/kartor_geotiff/A 20734-2026 georefererad karta.tif", "A 20734-2026")</f>
        <v/>
      </c>
      <c r="Z112">
        <f>HYPERLINK("https://klasma.github.io/Logging_2180/klagomål/A 20734-2026 FSC-klagomål.docx", "A 20734-2026")</f>
        <v/>
      </c>
      <c r="AA112">
        <f>HYPERLINK("https://klasma.github.io/Logging_2180/klagomålsmail/A 20734-2026 FSC-klagomål mail.docx", "A 20734-2026")</f>
        <v/>
      </c>
      <c r="AB112">
        <f>HYPERLINK("https://klasma.github.io/Logging_2180/tillsyn/A 20734-2026 tillsynsbegäran.docx", "A 20734-2026")</f>
        <v/>
      </c>
      <c r="AC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18216-2024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46223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Dofttaggsvamp</t>
        </is>
      </c>
      <c r="V113">
        <f>HYPERLINK("https://klasma.github.io/Logging_2180/artfynd/A 18216-2024 artfynd.xlsx", "A 18216-2024")</f>
        <v/>
      </c>
      <c r="W113">
        <f>HYPERLINK("https://klasma.github.io/Logging_2180/kartor/A 18216-2024 karta.png", "A 18216-2024")</f>
        <v/>
      </c>
      <c r="X113">
        <f>HYPERLINK("https://klasma.github.io/Logging_2180/kartor_geotiff/A 18216-2024 georefererad karta.tif", "A 18216-2024")</f>
        <v/>
      </c>
      <c r="Z113">
        <f>HYPERLINK("https://klasma.github.io/Logging_2180/klagomål/A 18216-2024 FSC-klagomål.docx", "A 18216-2024")</f>
        <v/>
      </c>
      <c r="AA113">
        <f>HYPERLINK("https://klasma.github.io/Logging_2180/klagomålsmail/A 18216-2024 FSC-klagomål mail.docx", "A 18216-2024")</f>
        <v/>
      </c>
      <c r="AB113">
        <f>HYPERLINK("https://klasma.github.io/Logging_2180/tillsyn/A 18216-2024 tillsynsbegäran.docx", "A 18216-2024")</f>
        <v/>
      </c>
      <c r="AC113">
        <f>HYPERLINK("https://klasma.github.io/Logging_2180/tillsynsmail/A 18216-2024 tillsynsbegäran mail.docx", "A 18216-2024")</f>
        <v/>
      </c>
    </row>
    <row r="114" ht="15" customHeight="1">
      <c r="A114" t="inlineStr">
        <is>
          <t>A 33812-2022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44790</v>
      </c>
      <c r="E114" s="1" t="n">
        <v>46223</v>
      </c>
      <c r="F114" t="inlineStr">
        <is>
          <t>GÄVLEBORGS LÄN</t>
        </is>
      </c>
      <c r="G114" t="inlineStr">
        <is>
          <t>GÄVLE</t>
        </is>
      </c>
      <c r="I114" t="n">
        <v>2.1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Myskmadra</t>
        </is>
      </c>
      <c r="V114">
        <f>HYPERLINK("https://klasma.github.io/Logging_2180/artfynd/A 33812-2022 artfynd.xlsx", "A 33812-2022")</f>
        <v/>
      </c>
      <c r="W114">
        <f>HYPERLINK("https://klasma.github.io/Logging_2180/kartor/A 33812-2022 karta.png", "A 33812-2022")</f>
        <v/>
      </c>
      <c r="X114">
        <f>HYPERLINK("https://klasma.github.io/Logging_2180/kartor_geotiff/A 33812-2022 georefererad karta.tif", "A 33812-2022")</f>
        <v/>
      </c>
      <c r="Z114">
        <f>HYPERLINK("https://klasma.github.io/Logging_2180/klagomål/A 33812-2022 FSC-klagomål.docx", "A 33812-2022")</f>
        <v/>
      </c>
      <c r="AA114">
        <f>HYPERLINK("https://klasma.github.io/Logging_2180/klagomålsmail/A 33812-2022 FSC-klagomål mail.docx", "A 33812-2022")</f>
        <v/>
      </c>
      <c r="AB114">
        <f>HYPERLINK("https://klasma.github.io/Logging_2180/tillsyn/A 33812-2022 tillsynsbegäran.docx", "A 33812-2022")</f>
        <v/>
      </c>
      <c r="AC114">
        <f>HYPERLINK("https://klasma.github.io/Logging_2180/tillsynsmail/A 33812-2022 tillsynsbegäran mail.docx", "A 33812-2022")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46223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HYPERLINK("https://klasma.github.io/Logging_2180/artfynd/A 27043-2026 artfynd.xlsx", "A 27043-2026")</f>
        <v/>
      </c>
      <c r="W115">
        <f>HYPERLINK("https://klasma.github.io/Logging_2180/kartor/A 27043-2026 karta.png", "A 27043-2026")</f>
        <v/>
      </c>
      <c r="X115">
        <f>HYPERLINK("https://klasma.github.io/Logging_2180/kartor_geotiff/A 27043-2026 georefererad karta.tif", "A 27043-2026")</f>
        <v/>
      </c>
      <c r="Z115">
        <f>HYPERLINK("https://klasma.github.io/Logging_2180/klagomål/A 27043-2026 FSC-klagomål.docx", "A 27043-2026")</f>
        <v/>
      </c>
      <c r="AA115">
        <f>HYPERLINK("https://klasma.github.io/Logging_2180/klagomålsmail/A 27043-2026 FSC-klagomål mail.docx", "A 27043-2026")</f>
        <v/>
      </c>
      <c r="AB115">
        <f>HYPERLINK("https://klasma.github.io/Logging_2180/tillsyn/A 27043-2026 tillsynsbegäran.docx", "A 27043-2026")</f>
        <v/>
      </c>
      <c r="AC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46223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Gullpudra</t>
        </is>
      </c>
      <c r="V116">
        <f>HYPERLINK("https://klasma.github.io/Logging_2180/artfynd/A 27058-2026 artfynd.xlsx", "A 27058-2026")</f>
        <v/>
      </c>
      <c r="W116">
        <f>HYPERLINK("https://klasma.github.io/Logging_2180/kartor/A 27058-2026 karta.png", "A 27058-2026")</f>
        <v/>
      </c>
      <c r="X116">
        <f>HYPERLINK("https://klasma.github.io/Logging_2180/kartor_geotiff/A 27058-2026 georefererad karta.tif", "A 27058-2026")</f>
        <v/>
      </c>
      <c r="Z116">
        <f>HYPERLINK("https://klasma.github.io/Logging_2180/klagomål/A 27058-2026 FSC-klagomål.docx", "A 27058-2026")</f>
        <v/>
      </c>
      <c r="AA116">
        <f>HYPERLINK("https://klasma.github.io/Logging_2180/klagomålsmail/A 27058-2026 FSC-klagomål mail.docx", "A 27058-2026")</f>
        <v/>
      </c>
      <c r="AB116">
        <f>HYPERLINK("https://klasma.github.io/Logging_2180/tillsyn/A 27058-2026 tillsynsbegäran.docx", "A 27058-2026")</f>
        <v/>
      </c>
      <c r="AC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46223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HYPERLINK("https://klasma.github.io/Logging_2180/artfynd/A 27063-2026 artfynd.xlsx", "A 27063-2026")</f>
        <v/>
      </c>
      <c r="W117">
        <f>HYPERLINK("https://klasma.github.io/Logging_2180/kartor/A 27063-2026 karta.png", "A 27063-2026")</f>
        <v/>
      </c>
      <c r="X117">
        <f>HYPERLINK("https://klasma.github.io/Logging_2180/kartor_geotiff/A 27063-2026 georefererad karta.tif", "A 27063-2026")</f>
        <v/>
      </c>
      <c r="Z117">
        <f>HYPERLINK("https://klasma.github.io/Logging_2180/klagomål/A 27063-2026 FSC-klagomål.docx", "A 27063-2026")</f>
        <v/>
      </c>
      <c r="AA117">
        <f>HYPERLINK("https://klasma.github.io/Logging_2180/klagomålsmail/A 27063-2026 FSC-klagomål mail.docx", "A 27063-2026")</f>
        <v/>
      </c>
      <c r="AB117">
        <f>HYPERLINK("https://klasma.github.io/Logging_2180/tillsyn/A 27063-2026 tillsynsbegäran.docx", "A 27063-2026")</f>
        <v/>
      </c>
      <c r="AC117">
        <f>HYPERLINK("https://klasma.github.io/Logging_2180/tillsynsmail/A 27063-2026 tillsynsbegäran mail.docx", "A 27063-2026")</f>
        <v/>
      </c>
    </row>
    <row r="118" ht="15" customHeight="1">
      <c r="A118" t="inlineStr">
        <is>
          <t>A 26871-2026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46223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HYPERLINK("https://klasma.github.io/Logging_2180/artfynd/A 26871-2026 artfynd.xlsx", "A 26871-2026")</f>
        <v/>
      </c>
      <c r="W118">
        <f>HYPERLINK("https://klasma.github.io/Logging_2180/kartor/A 26871-2026 karta.png", "A 26871-2026")</f>
        <v/>
      </c>
      <c r="X118">
        <f>HYPERLINK("https://klasma.github.io/Logging_2180/kartor_geotiff/A 26871-2026 georefererad karta.tif", "A 26871-2026")</f>
        <v/>
      </c>
      <c r="Z118">
        <f>HYPERLINK("https://klasma.github.io/Logging_2180/klagomål/A 26871-2026 FSC-klagomål.docx", "A 26871-2026")</f>
        <v/>
      </c>
      <c r="AA118">
        <f>HYPERLINK("https://klasma.github.io/Logging_2180/klagomålsmail/A 26871-2026 FSC-klagomål mail.docx", "A 26871-2026")</f>
        <v/>
      </c>
      <c r="AB118">
        <f>HYPERLINK("https://klasma.github.io/Logging_2180/tillsyn/A 26871-2026 tillsynsbegäran.docx", "A 26871-2026")</f>
        <v/>
      </c>
      <c r="AC118">
        <f>HYPERLINK("https://klasma.github.io/Logging_2180/tillsynsmail/A 26871-2026 tillsynsbegäran mail.docx", "A 26871-2026")</f>
        <v/>
      </c>
    </row>
    <row r="119" ht="15" customHeight="1">
      <c r="A119" t="inlineStr">
        <is>
          <t>A 13269-2026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46223</v>
      </c>
      <c r="F119" t="inlineStr">
        <is>
          <t>GÄVLEBORGS LÄN</t>
        </is>
      </c>
      <c r="G119" t="inlineStr">
        <is>
          <t>GÄVLE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Havsörn</t>
        </is>
      </c>
      <c r="V119">
        <f>HYPERLINK("https://klasma.github.io/Logging_2180/artfynd/A 13269-2026 artfynd.xlsx", "A 13269-2026")</f>
        <v/>
      </c>
      <c r="W119">
        <f>HYPERLINK("https://klasma.github.io/Logging_2180/kartor/A 13269-2026 karta.png", "A 13269-2026")</f>
        <v/>
      </c>
      <c r="X119">
        <f>HYPERLINK("https://klasma.github.io/Logging_2180/kartor_geotiff/A 13269-2026 georefererad karta.tif", "A 13269-2026")</f>
        <v/>
      </c>
      <c r="Z119">
        <f>HYPERLINK("https://klasma.github.io/Logging_2180/klagomål/A 13269-2026 FSC-klagomål.docx", "A 13269-2026")</f>
        <v/>
      </c>
      <c r="AA119">
        <f>HYPERLINK("https://klasma.github.io/Logging_2180/klagomålsmail/A 13269-2026 FSC-klagomål mail.docx", "A 13269-2026")</f>
        <v/>
      </c>
      <c r="AB119">
        <f>HYPERLINK("https://klasma.github.io/Logging_2180/tillsyn/A 13269-2026 tillsynsbegäran.docx", "A 13269-2026")</f>
        <v/>
      </c>
      <c r="AC119">
        <f>HYPERLINK("https://klasma.github.io/Logging_2180/tillsynsmail/A 13269-2026 tillsynsbegäran mail.docx", "A 13269-2026")</f>
        <v/>
      </c>
      <c r="AD119">
        <f>HYPERLINK("https://klasma.github.io/Logging_2180/fåglar/A 13269-2026 prioriterade fågelarter.docx", "A 13269-2026")</f>
        <v/>
      </c>
    </row>
    <row r="120" ht="15" customHeight="1">
      <c r="A120" t="inlineStr">
        <is>
          <t>A 14703-2026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46223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HYPERLINK("https://klasma.github.io/Logging_2180/artfynd/A 14703-2026 artfynd.xlsx", "A 14703-2026")</f>
        <v/>
      </c>
      <c r="W120">
        <f>HYPERLINK("https://klasma.github.io/Logging_2180/kartor/A 14703-2026 karta.png", "A 14703-2026")</f>
        <v/>
      </c>
      <c r="X120">
        <f>HYPERLINK("https://klasma.github.io/Logging_2180/kartor_geotiff/A 14703-2026 georefererad karta.tif", "A 14703-2026")</f>
        <v/>
      </c>
      <c r="Z120">
        <f>HYPERLINK("https://klasma.github.io/Logging_2180/klagomål/A 14703-2026 FSC-klagomål.docx", "A 14703-2026")</f>
        <v/>
      </c>
      <c r="AA120">
        <f>HYPERLINK("https://klasma.github.io/Logging_2180/klagomålsmail/A 14703-2026 FSC-klagomål mail.docx", "A 14703-2026")</f>
        <v/>
      </c>
      <c r="AB120">
        <f>HYPERLINK("https://klasma.github.io/Logging_2180/tillsyn/A 14703-2026 tillsynsbegäran.docx", "A 14703-2026")</f>
        <v/>
      </c>
      <c r="AC120">
        <f>HYPERLINK("https://klasma.github.io/Logging_2180/tillsynsmail/A 14703-2026 tillsynsbegäran mail.docx", "A 14703-2026")</f>
        <v/>
      </c>
      <c r="AD120">
        <f>HYPERLINK("https://klasma.github.io/Logging_2180/fåglar/A 14703-2026 prioriterade fågelarter.docx", "A 14703-2026")</f>
        <v/>
      </c>
    </row>
    <row r="121" ht="15" customHeight="1">
      <c r="A121" t="inlineStr">
        <is>
          <t>A 22052-2026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46223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Gullpudra</t>
        </is>
      </c>
      <c r="V121">
        <f>HYPERLINK("https://klasma.github.io/Logging_2180/artfynd/A 22052-2026 artfynd.xlsx", "A 22052-2026")</f>
        <v/>
      </c>
      <c r="W121">
        <f>HYPERLINK("https://klasma.github.io/Logging_2180/kartor/A 22052-2026 karta.png", "A 22052-2026")</f>
        <v/>
      </c>
      <c r="X121">
        <f>HYPERLINK("https://klasma.github.io/Logging_2180/kartor_geotiff/A 22052-2026 georefererad karta.tif", "A 22052-2026")</f>
        <v/>
      </c>
      <c r="Z121">
        <f>HYPERLINK("https://klasma.github.io/Logging_2180/klagomål/A 22052-2026 FSC-klagomål.docx", "A 22052-2026")</f>
        <v/>
      </c>
      <c r="AA121">
        <f>HYPERLINK("https://klasma.github.io/Logging_2180/klagomålsmail/A 22052-2026 FSC-klagomål mail.docx", "A 22052-2026")</f>
        <v/>
      </c>
      <c r="AB121">
        <f>HYPERLINK("https://klasma.github.io/Logging_2180/tillsyn/A 22052-2026 tillsynsbegäran.docx", "A 22052-2026")</f>
        <v/>
      </c>
      <c r="AC121">
        <f>HYPERLINK("https://klasma.github.io/Logging_2180/tillsynsmail/A 22052-2026 tillsynsbegäran mail.docx", "A 22052-2026")</f>
        <v/>
      </c>
    </row>
    <row r="122" ht="15" customHeight="1">
      <c r="A122" t="inlineStr">
        <is>
          <t>A 28546-2026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46223</v>
      </c>
      <c r="F122" t="inlineStr">
        <is>
          <t>GÄVLEBORGS LÄN</t>
        </is>
      </c>
      <c r="G122" t="inlineStr">
        <is>
          <t>GÄVLE</t>
        </is>
      </c>
      <c r="H122" t="inlineStr">
        <is>
          <t>BillerudKorsnäs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Fiskgjuse</t>
        </is>
      </c>
      <c r="V122">
        <f>HYPERLINK("https://klasma.github.io/Logging_2180/artfynd/A 28546-2026 artfynd.xlsx", "A 28546-2026")</f>
        <v/>
      </c>
      <c r="W122">
        <f>HYPERLINK("https://klasma.github.io/Logging_2180/kartor/A 28546-2026 karta.png", "A 28546-2026")</f>
        <v/>
      </c>
      <c r="X122">
        <f>HYPERLINK("https://klasma.github.io/Logging_2180/kartor_geotiff/A 28546-2026 georefererad karta.tif", "A 28546-2026")</f>
        <v/>
      </c>
      <c r="Z122">
        <f>HYPERLINK("https://klasma.github.io/Logging_2180/klagomål/A 28546-2026 FSC-klagomål.docx", "A 28546-2026")</f>
        <v/>
      </c>
      <c r="AA122">
        <f>HYPERLINK("https://klasma.github.io/Logging_2180/klagomålsmail/A 28546-2026 FSC-klagomål mail.docx", "A 28546-2026")</f>
        <v/>
      </c>
      <c r="AB122">
        <f>HYPERLINK("https://klasma.github.io/Logging_2180/tillsyn/A 28546-2026 tillsynsbegäran.docx", "A 28546-2026")</f>
        <v/>
      </c>
      <c r="AC122">
        <f>HYPERLINK("https://klasma.github.io/Logging_2180/tillsynsmail/A 28546-2026 tillsynsbegäran mail.docx", "A 28546-2026")</f>
        <v/>
      </c>
      <c r="AD122">
        <f>HYPERLINK("https://klasma.github.io/Logging_2180/fåglar/A 28546-2026 prioriterade fågelarter.docx", "A 28546-2026")</f>
        <v/>
      </c>
    </row>
    <row r="123" ht="15" customHeight="1">
      <c r="A123" t="inlineStr">
        <is>
          <t>A 37927-2022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46223</v>
      </c>
      <c r="F123" t="inlineStr">
        <is>
          <t>GÄVLEBORGS LÄN</t>
        </is>
      </c>
      <c r="G123" t="inlineStr">
        <is>
          <t>GÄVLE</t>
        </is>
      </c>
      <c r="I123" t="n">
        <v>1.6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10</v>
      </c>
      <c r="U123" s="2" t="inlineStr">
        <is>
          <t>Knärot</t>
        </is>
      </c>
      <c r="V123">
        <f>HYPERLINK("https://klasma.github.io/Logging_2180/artfynd/A 37927-2022 artfynd.xlsx", "A 37927-2022")</f>
        <v/>
      </c>
      <c r="W123">
        <f>HYPERLINK("https://klasma.github.io/Logging_2180/kartor/A 37927-2022 karta.png", "A 37927-2022")</f>
        <v/>
      </c>
      <c r="X123">
        <f>HYPERLINK("https://klasma.github.io/Logging_2180/kartor_geotiff/A 37927-2022 georefererad karta.tif", "A 37927-2022")</f>
        <v/>
      </c>
      <c r="Y123">
        <f>HYPERLINK("https://klasma.github.io/Logging_2180/knärot/A 37927-2022 karta knärot.png", "A 37927-2022")</f>
        <v/>
      </c>
      <c r="Z123">
        <f>HYPERLINK("https://klasma.github.io/Logging_2180/klagomål/A 37927-2022 FSC-klagomål.docx", "A 37927-2022")</f>
        <v/>
      </c>
      <c r="AA123">
        <f>HYPERLINK("https://klasma.github.io/Logging_2180/klagomålsmail/A 37927-2022 FSC-klagomål mail.docx", "A 37927-2022")</f>
        <v/>
      </c>
      <c r="AB123">
        <f>HYPERLINK("https://klasma.github.io/Logging_2180/tillsyn/A 37927-2022 tillsynsbegäran.docx", "A 37927-2022")</f>
        <v/>
      </c>
      <c r="AC123">
        <f>HYPERLINK("https://klasma.github.io/Logging_2180/tillsynsmail/A 37927-2022 tillsynsbegäran mail.docx", "A 37927-2022")</f>
        <v/>
      </c>
    </row>
    <row r="124" ht="15" customHeight="1">
      <c r="A124" t="inlineStr">
        <is>
          <t>A 23003-2026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46223</v>
      </c>
      <c r="F124" t="inlineStr">
        <is>
          <t>GÄVLEBORGS LÄN</t>
        </is>
      </c>
      <c r="G124" t="inlineStr">
        <is>
          <t>GÄVLE</t>
        </is>
      </c>
      <c r="I124" t="n">
        <v>12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s="2" t="inlineStr">
        <is>
          <t>Tjäder</t>
        </is>
      </c>
      <c r="V124">
        <f>HYPERLINK("https://klasma.github.io/Logging_2180/artfynd/A 23003-2026 artfynd.xlsx", "A 23003-2026")</f>
        <v/>
      </c>
      <c r="W124">
        <f>HYPERLINK("https://klasma.github.io/Logging_2180/kartor/A 23003-2026 karta.png", "A 23003-2026")</f>
        <v/>
      </c>
      <c r="X124">
        <f>HYPERLINK("https://klasma.github.io/Logging_2180/kartor_geotiff/A 23003-2026 georefererad karta.tif", "A 23003-2026")</f>
        <v/>
      </c>
      <c r="Z124">
        <f>HYPERLINK("https://klasma.github.io/Logging_2180/klagomål/A 23003-2026 FSC-klagomål.docx", "A 23003-2026")</f>
        <v/>
      </c>
      <c r="AA124">
        <f>HYPERLINK("https://klasma.github.io/Logging_2180/klagomålsmail/A 23003-2026 FSC-klagomål mail.docx", "A 23003-2026")</f>
        <v/>
      </c>
      <c r="AB124">
        <f>HYPERLINK("https://klasma.github.io/Logging_2180/tillsyn/A 23003-2026 tillsynsbegäran.docx", "A 23003-2026")</f>
        <v/>
      </c>
      <c r="AC124">
        <f>HYPERLINK("https://klasma.github.io/Logging_2180/tillsynsmail/A 23003-2026 tillsynsbegäran mail.docx", "A 23003-2026")</f>
        <v/>
      </c>
      <c r="AD124">
        <f>HYPERLINK("https://klasma.github.io/Logging_2180/fåglar/A 23003-2026 prioriterade fågelarter.docx", "A 23003-2026")</f>
        <v/>
      </c>
    </row>
    <row r="125" ht="15" customHeight="1">
      <c r="A125" t="inlineStr">
        <is>
          <t>A 22892-2026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46223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HYPERLINK("https://klasma.github.io/Logging_2180/artfynd/A 22892-2026 artfynd.xlsx", "A 22892-2026")</f>
        <v/>
      </c>
      <c r="W125">
        <f>HYPERLINK("https://klasma.github.io/Logging_2180/kartor/A 22892-2026 karta.png", "A 22892-2026")</f>
        <v/>
      </c>
      <c r="X125">
        <f>HYPERLINK("https://klasma.github.io/Logging_2180/kartor_geotiff/A 22892-2026 georefererad karta.tif", "A 22892-2026")</f>
        <v/>
      </c>
      <c r="Z125">
        <f>HYPERLINK("https://klasma.github.io/Logging_2180/klagomål/A 22892-2026 FSC-klagomål.docx", "A 22892-2026")</f>
        <v/>
      </c>
      <c r="AA125">
        <f>HYPERLINK("https://klasma.github.io/Logging_2180/klagomålsmail/A 22892-2026 FSC-klagomål mail.docx", "A 22892-2026")</f>
        <v/>
      </c>
      <c r="AB125">
        <f>HYPERLINK("https://klasma.github.io/Logging_2180/tillsyn/A 22892-2026 tillsynsbegäran.docx", "A 22892-2026")</f>
        <v/>
      </c>
      <c r="AC125">
        <f>HYPERLINK("https://klasma.github.io/Logging_2180/tillsynsmail/A 22892-2026 tillsynsbegäran mail.docx", "A 22892-2026")</f>
        <v/>
      </c>
      <c r="AD125">
        <f>HYPERLINK("https://klasma.github.io/Logging_2180/fåglar/A 22892-2026 prioriterade fågelarter.docx", "A 22892-2026")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46223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Mindre bastardsvärmare</t>
        </is>
      </c>
      <c r="V126">
        <f>HYPERLINK("https://klasma.github.io/Logging_2180/artfynd/A 12437-2024 artfynd.xlsx", "A 12437-2024")</f>
        <v/>
      </c>
      <c r="W126">
        <f>HYPERLINK("https://klasma.github.io/Logging_2180/kartor/A 12437-2024 karta.png", "A 12437-2024")</f>
        <v/>
      </c>
      <c r="X126">
        <f>HYPERLINK("https://klasma.github.io/Logging_2180/kartor_geotiff/A 12437-2024 georefererad karta.tif", "A 12437-2024")</f>
        <v/>
      </c>
      <c r="Z126">
        <f>HYPERLINK("https://klasma.github.io/Logging_2180/klagomål/A 12437-2024 FSC-klagomål.docx", "A 12437-2024")</f>
        <v/>
      </c>
      <c r="AA126">
        <f>HYPERLINK("https://klasma.github.io/Logging_2180/klagomålsmail/A 12437-2024 FSC-klagomål mail.docx", "A 12437-2024")</f>
        <v/>
      </c>
      <c r="AB126">
        <f>HYPERLINK("https://klasma.github.io/Logging_2180/tillsyn/A 12437-2024 tillsynsbegäran.docx", "A 12437-2024")</f>
        <v/>
      </c>
      <c r="AC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46223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Mindre tåtelsmygare</t>
        </is>
      </c>
      <c r="V127">
        <f>HYPERLINK("https://klasma.github.io/Logging_2180/artfynd/A 31448-2026 artfynd.xlsx", "A 31448-2026")</f>
        <v/>
      </c>
      <c r="W127">
        <f>HYPERLINK("https://klasma.github.io/Logging_2180/kartor/A 31448-2026 karta.png", "A 31448-2026")</f>
        <v/>
      </c>
      <c r="X127">
        <f>HYPERLINK("https://klasma.github.io/Logging_2180/kartor_geotiff/A 31448-2026 georefererad karta.tif", "A 31448-2026")</f>
        <v/>
      </c>
      <c r="Z127">
        <f>HYPERLINK("https://klasma.github.io/Logging_2180/klagomål/A 31448-2026 FSC-klagomål.docx", "A 31448-2026")</f>
        <v/>
      </c>
      <c r="AA127">
        <f>HYPERLINK("https://klasma.github.io/Logging_2180/klagomålsmail/A 31448-2026 FSC-klagomål mail.docx", "A 31448-2026")</f>
        <v/>
      </c>
      <c r="AB127">
        <f>HYPERLINK("https://klasma.github.io/Logging_2180/tillsyn/A 31448-2026 tillsynsbegäran.docx", "A 31448-2026")</f>
        <v/>
      </c>
      <c r="AC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46223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HYPERLINK("https://klasma.github.io/Logging_2180/artfynd/A 35225-2024 artfynd.xlsx", "A 35225-2024")</f>
        <v/>
      </c>
      <c r="W128">
        <f>HYPERLINK("https://klasma.github.io/Logging_2180/kartor/A 35225-2024 karta.png", "A 35225-2024")</f>
        <v/>
      </c>
      <c r="X128">
        <f>HYPERLINK("https://klasma.github.io/Logging_2180/kartor_geotiff/A 35225-2024 georefererad karta.tif", "A 35225-2024")</f>
        <v/>
      </c>
      <c r="Z128">
        <f>HYPERLINK("https://klasma.github.io/Logging_2180/klagomål/A 35225-2024 FSC-klagomål.docx", "A 35225-2024")</f>
        <v/>
      </c>
      <c r="AA128">
        <f>HYPERLINK("https://klasma.github.io/Logging_2180/klagomålsmail/A 35225-2024 FSC-klagomål mail.docx", "A 35225-2024")</f>
        <v/>
      </c>
      <c r="AB128">
        <f>HYPERLINK("https://klasma.github.io/Logging_2180/tillsyn/A 35225-2024 tillsynsbegäran.docx", "A 35225-2024")</f>
        <v/>
      </c>
      <c r="AC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46223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Brunlångöra</t>
        </is>
      </c>
      <c r="V129">
        <f>HYPERLINK("https://klasma.github.io/Logging_2180/artfynd/A 12381-2023 artfynd.xlsx", "A 12381-2023")</f>
        <v/>
      </c>
      <c r="W129">
        <f>HYPERLINK("https://klasma.github.io/Logging_2180/kartor/A 12381-2023 karta.png", "A 12381-2023")</f>
        <v/>
      </c>
      <c r="X129">
        <f>HYPERLINK("https://klasma.github.io/Logging_2180/kartor_geotiff/A 12381-2023 georefererad karta.tif", "A 12381-2023")</f>
        <v/>
      </c>
      <c r="Z129">
        <f>HYPERLINK("https://klasma.github.io/Logging_2180/klagomål/A 12381-2023 FSC-klagomål.docx", "A 12381-2023")</f>
        <v/>
      </c>
      <c r="AA129">
        <f>HYPERLINK("https://klasma.github.io/Logging_2180/klagomålsmail/A 12381-2023 FSC-klagomål mail.docx", "A 12381-2023")</f>
        <v/>
      </c>
      <c r="AB129">
        <f>HYPERLINK("https://klasma.github.io/Logging_2180/tillsyn/A 12381-2023 tillsynsbegäran.docx", "A 12381-2023")</f>
        <v/>
      </c>
      <c r="AC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47642-2024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46223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Orre</t>
        </is>
      </c>
      <c r="V130">
        <f>HYPERLINK("https://klasma.github.io/Logging_2180/artfynd/A 47642-2024 artfynd.xlsx", "A 47642-2024")</f>
        <v/>
      </c>
      <c r="W130">
        <f>HYPERLINK("https://klasma.github.io/Logging_2180/kartor/A 47642-2024 karta.png", "A 47642-2024")</f>
        <v/>
      </c>
      <c r="X130">
        <f>HYPERLINK("https://klasma.github.io/Logging_2180/kartor_geotiff/A 47642-2024 georefererad karta.tif", "A 47642-2024")</f>
        <v/>
      </c>
      <c r="Z130">
        <f>HYPERLINK("https://klasma.github.io/Logging_2180/klagomål/A 47642-2024 FSC-klagomål.docx", "A 47642-2024")</f>
        <v/>
      </c>
      <c r="AA130">
        <f>HYPERLINK("https://klasma.github.io/Logging_2180/klagomålsmail/A 47642-2024 FSC-klagomål mail.docx", "A 47642-2024")</f>
        <v/>
      </c>
      <c r="AB130">
        <f>HYPERLINK("https://klasma.github.io/Logging_2180/tillsyn/A 47642-2024 tillsynsbegäran.docx", "A 47642-2024")</f>
        <v/>
      </c>
      <c r="AC130">
        <f>HYPERLINK("https://klasma.github.io/Logging_2180/tillsynsmail/A 47642-2024 tillsynsbegäran mail.docx", "A 47642-2024")</f>
        <v/>
      </c>
      <c r="AD130">
        <f>HYPERLINK("https://klasma.github.io/Logging_2180/fåglar/A 47642-2024 prioriterade fågelarter.docx", "A 47642-2024")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Fläcknycklar</t>
        </is>
      </c>
      <c r="V131">
        <f>HYPERLINK("https://klasma.github.io/Logging_2180/artfynd/S 399-2022 artfynd.xlsx", "S 399-2022")</f>
        <v/>
      </c>
      <c r="W131">
        <f>HYPERLINK("https://klasma.github.io/Logging_2180/kartor/S 399-2022 karta.png", "S 399-2022")</f>
        <v/>
      </c>
      <c r="X131">
        <f>HYPERLINK("https://klasma.github.io/Logging_2180/kartor_geotiff/S 399-2022 georefererad karta.tif", "S 399-2022")</f>
        <v/>
      </c>
      <c r="Z131">
        <f>HYPERLINK("https://klasma.github.io/Logging_2180/klagomål/S 399-2022 FSC-klagomål.docx", "S 399-2022")</f>
        <v/>
      </c>
      <c r="AA131">
        <f>HYPERLINK("https://klasma.github.io/Logging_2180/klagomålsmail/S 399-2022 FSC-klagomål mail.docx", "S 399-2022")</f>
        <v/>
      </c>
      <c r="AB131">
        <f>HYPERLINK("https://klasma.github.io/Logging_2180/tillsyn/S 399-2022 tillsynsbegäran.docx", "S 399-2022")</f>
        <v/>
      </c>
      <c r="AC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46223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Tallticka</t>
        </is>
      </c>
      <c r="V132">
        <f>HYPERLINK("https://klasma.github.io/Logging_2180/artfynd/S 235-2025 artfynd.xlsx", "S 235-2025")</f>
        <v/>
      </c>
      <c r="W132">
        <f>HYPERLINK("https://klasma.github.io/Logging_2180/kartor/S 235-2025 karta.png", "S 235-2025")</f>
        <v/>
      </c>
      <c r="X132">
        <f>HYPERLINK("https://klasma.github.io/Logging_2180/kartor_geotiff/S 235-2025 georefererad karta.tif", "S 235-2025")</f>
        <v/>
      </c>
      <c r="Z132">
        <f>HYPERLINK("https://klasma.github.io/Logging_2180/klagomål/S 235-2025 FSC-klagomål.docx", "S 235-2025")</f>
        <v/>
      </c>
      <c r="AA132">
        <f>HYPERLINK("https://klasma.github.io/Logging_2180/klagomålsmail/S 235-2025 FSC-klagomål mail.docx", "S 235-2025")</f>
        <v/>
      </c>
      <c r="AB132">
        <f>HYPERLINK("https://klasma.github.io/Logging_2180/tillsyn/S 235-2025 tillsynsbegäran.docx", "S 235-2025")</f>
        <v/>
      </c>
      <c r="AC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46223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s="2" t="inlineStr">
        <is>
          <t>Väddnätfjäril</t>
        </is>
      </c>
      <c r="V133">
        <f>HYPERLINK("https://klasma.github.io/Logging_2180/artfynd/S 3895-2024 artfynd.xlsx", "S 3895-2024")</f>
        <v/>
      </c>
      <c r="W133">
        <f>HYPERLINK("https://klasma.github.io/Logging_2180/kartor/S 3895-2024 karta.png", "S 3895-2024")</f>
        <v/>
      </c>
      <c r="X133">
        <f>HYPERLINK("https://klasma.github.io/Logging_2180/kartor_geotiff/S 3895-2024 georefererad karta.tif", "S 3895-2024")</f>
        <v/>
      </c>
      <c r="Z133">
        <f>HYPERLINK("https://klasma.github.io/Logging_2180/klagomål/S 3895-2024 FSC-klagomål.docx", "S 3895-2024")</f>
        <v/>
      </c>
      <c r="AA133">
        <f>HYPERLINK("https://klasma.github.io/Logging_2180/klagomålsmail/S 3895-2024 FSC-klagomål mail.docx", "S 3895-2024")</f>
        <v/>
      </c>
      <c r="AB133">
        <f>HYPERLINK("https://klasma.github.io/Logging_2180/tillsyn/S 3895-2024 tillsynsbegäran.docx", "S 3895-2024")</f>
        <v/>
      </c>
      <c r="AC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46223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s="2" t="inlineStr">
        <is>
          <t>Mosippa</t>
        </is>
      </c>
      <c r="V134">
        <f>HYPERLINK("https://klasma.github.io/Logging_2180/artfynd/S 952-2026 artfynd.xlsx", "S 952-2026")</f>
        <v/>
      </c>
      <c r="W134">
        <f>HYPERLINK("https://klasma.github.io/Logging_2180/kartor/S 952-2026 karta.png", "S 952-2026")</f>
        <v/>
      </c>
      <c r="X134">
        <f>HYPERLINK("https://klasma.github.io/Logging_2180/kartor_geotiff/S 952-2026 georefererad karta.tif", "S 952-2026")</f>
        <v/>
      </c>
      <c r="Z134">
        <f>HYPERLINK("https://klasma.github.io/Logging_2180/klagomål/S 952-2026 FSC-klagomål.docx", "S 952-2026")</f>
        <v/>
      </c>
      <c r="AA134">
        <f>HYPERLINK("https://klasma.github.io/Logging_2180/klagomålsmail/S 952-2026 FSC-klagomål mail.docx", "S 952-2026")</f>
        <v/>
      </c>
      <c r="AB134">
        <f>HYPERLINK("https://klasma.github.io/Logging_2180/tillsyn/S 952-2026 tillsynsbegäran.docx", "S 952-2026")</f>
        <v/>
      </c>
      <c r="AC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46223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46223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46223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46223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46223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46223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46223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46223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46223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46223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46223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46223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46223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46223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46223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46223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46223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46223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46223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46223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46223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46223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46223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46223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46223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46223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46223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46223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46223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46223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46223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46223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46223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46223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46223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46223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46223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46223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46223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46223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46223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46223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46223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46223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46223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46539-2021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44445</v>
      </c>
      <c r="E180" s="1" t="n">
        <v>46223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46223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46223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46223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46223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46223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20689-2024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45436</v>
      </c>
      <c r="E186" s="1" t="n">
        <v>46223</v>
      </c>
      <c r="F186" t="inlineStr">
        <is>
          <t>GÄVLEBORGS LÄN</t>
        </is>
      </c>
      <c r="G186" t="inlineStr">
        <is>
          <t>GÄVLE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46223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46223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46223</v>
      </c>
      <c r="F189" t="inlineStr">
        <is>
          <t>GÄVLEBORGS LÄN</t>
        </is>
      </c>
      <c r="G189" t="inlineStr">
        <is>
          <t>GÄVLE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46223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46223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23638-2024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46223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46223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46223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46223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46223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46223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2400-2023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44942</v>
      </c>
      <c r="E198" s="1" t="n">
        <v>46223</v>
      </c>
      <c r="F198" t="inlineStr">
        <is>
          <t>GÄVLEBORGS LÄN</t>
        </is>
      </c>
      <c r="G198" t="inlineStr">
        <is>
          <t>GÄVLE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46223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46223</v>
      </c>
      <c r="F200" t="inlineStr">
        <is>
          <t>GÄVLEBORGS LÄN</t>
        </is>
      </c>
      <c r="G200" t="inlineStr">
        <is>
          <t>GÄVLE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46223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45511</v>
      </c>
      <c r="E202" s="1" t="n">
        <v>46223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45628-2022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46223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46223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46223</v>
      </c>
      <c r="F205" t="inlineStr">
        <is>
          <t>GÄVLEBORGS LÄN</t>
        </is>
      </c>
      <c r="G205" t="inlineStr">
        <is>
          <t>GÄVLE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45644</v>
      </c>
      <c r="E206" s="1" t="n">
        <v>46223</v>
      </c>
      <c r="F206" t="inlineStr">
        <is>
          <t>GÄVLEBORGS LÄN</t>
        </is>
      </c>
      <c r="G206" t="inlineStr">
        <is>
          <t>GÄVLE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46223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37258-2024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46223</v>
      </c>
      <c r="F208" t="inlineStr">
        <is>
          <t>GÄVLEBORGS LÄN</t>
        </is>
      </c>
      <c r="G208" t="inlineStr">
        <is>
          <t>GÄVLE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46223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65879-2021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46223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46041</v>
      </c>
      <c r="E211" s="1" t="n">
        <v>46223</v>
      </c>
      <c r="F211" t="inlineStr">
        <is>
          <t>GÄVLEBORGS LÄN</t>
        </is>
      </c>
      <c r="G211" t="inlineStr">
        <is>
          <t>GÄVLE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44988</v>
      </c>
      <c r="E212" s="1" t="n">
        <v>46223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44585</v>
      </c>
      <c r="E213" s="1" t="n">
        <v>46223</v>
      </c>
      <c r="F213" t="inlineStr">
        <is>
          <t>GÄVLEBORGS LÄN</t>
        </is>
      </c>
      <c r="G213" t="inlineStr">
        <is>
          <t>GÄVLE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38627-2025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46223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11429-2025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46223</v>
      </c>
      <c r="F215" t="inlineStr">
        <is>
          <t>GÄVLEBORGS LÄN</t>
        </is>
      </c>
      <c r="G215" t="inlineStr">
        <is>
          <t>GÄVLE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46223</v>
      </c>
      <c r="F216" t="inlineStr">
        <is>
          <t>GÄVLEBORGS LÄN</t>
        </is>
      </c>
      <c r="G216" t="inlineStr">
        <is>
          <t>GÄVLE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46223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27611-2025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46223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46223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46223</v>
      </c>
      <c r="F220" t="inlineStr">
        <is>
          <t>GÄVLEBORGS LÄN</t>
        </is>
      </c>
      <c r="G220" t="inlineStr">
        <is>
          <t>GÄVLE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19555-2022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44693</v>
      </c>
      <c r="E221" s="1" t="n">
        <v>46223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46223</v>
      </c>
      <c r="F222" t="inlineStr">
        <is>
          <t>GÄVLEBORGS LÄN</t>
        </is>
      </c>
      <c r="G222" t="inlineStr">
        <is>
          <t>GÄVLE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46223</v>
      </c>
      <c r="F223" t="inlineStr">
        <is>
          <t>GÄVLEBORGS LÄN</t>
        </is>
      </c>
      <c r="G223" t="inlineStr">
        <is>
          <t>GÄVLE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46223</v>
      </c>
      <c r="F224" t="inlineStr">
        <is>
          <t>GÄVLEBORGS LÄN</t>
        </is>
      </c>
      <c r="G224" t="inlineStr">
        <is>
          <t>GÄVLE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28481-2025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46223</v>
      </c>
      <c r="F225" t="inlineStr">
        <is>
          <t>GÄVLEBORGS LÄN</t>
        </is>
      </c>
      <c r="G225" t="inlineStr">
        <is>
          <t>GÄVLE</t>
        </is>
      </c>
      <c r="I225" t="n">
        <v>13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16624-2023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46223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46223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46223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61880-2024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45652</v>
      </c>
      <c r="E229" s="1" t="n">
        <v>46223</v>
      </c>
      <c r="F229" t="inlineStr">
        <is>
          <t>GÄVLEBORGS LÄN</t>
        </is>
      </c>
      <c r="G229" t="inlineStr">
        <is>
          <t>GÄVLE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19095-2022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44691</v>
      </c>
      <c r="E230" s="1" t="n">
        <v>46223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18017-2023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46223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46223</v>
      </c>
      <c r="F232" t="inlineStr">
        <is>
          <t>GÄVLEBORGS LÄN</t>
        </is>
      </c>
      <c r="G232" t="inlineStr">
        <is>
          <t>GÄVLE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46223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46223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14563-2025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45741</v>
      </c>
      <c r="E235" s="1" t="n">
        <v>46223</v>
      </c>
      <c r="F235" t="inlineStr">
        <is>
          <t>GÄVLEBORGS LÄN</t>
        </is>
      </c>
      <c r="G235" t="inlineStr">
        <is>
          <t>GÄVLE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49380-2024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45595</v>
      </c>
      <c r="E236" s="1" t="n">
        <v>46223</v>
      </c>
      <c r="F236" t="inlineStr">
        <is>
          <t>GÄVLEBORGS LÄN</t>
        </is>
      </c>
      <c r="G236" t="inlineStr">
        <is>
          <t>GÄVLE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40316-2025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46223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40297-2025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45895</v>
      </c>
      <c r="E238" s="1" t="n">
        <v>46223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46223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46223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41302-2025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46223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46223</v>
      </c>
      <c r="F242" t="inlineStr">
        <is>
          <t>GÄVLEBORGS LÄN</t>
        </is>
      </c>
      <c r="G242" t="inlineStr">
        <is>
          <t>GÄVLE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46223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46223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46223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46223</v>
      </c>
      <c r="F246" t="inlineStr">
        <is>
          <t>GÄVLEBORGS LÄN</t>
        </is>
      </c>
      <c r="G246" t="inlineStr">
        <is>
          <t>GÄVLE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46223</v>
      </c>
      <c r="F247" t="inlineStr">
        <is>
          <t>GÄVLEBORGS LÄN</t>
        </is>
      </c>
      <c r="G247" t="inlineStr">
        <is>
          <t>GÄVLE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44951</v>
      </c>
      <c r="E248" s="1" t="n">
        <v>46223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44951</v>
      </c>
      <c r="E249" s="1" t="n">
        <v>46223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46223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30202-2025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45827</v>
      </c>
      <c r="E251" s="1" t="n">
        <v>46223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40992-2025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46223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46223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46223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64871-2023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45282</v>
      </c>
      <c r="E255" s="1" t="n">
        <v>46223</v>
      </c>
      <c r="F255" t="inlineStr">
        <is>
          <t>GÄVLEBORGS LÄN</t>
        </is>
      </c>
      <c r="G255" t="inlineStr">
        <is>
          <t>GÄVLE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64875-2023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45282</v>
      </c>
      <c r="E256" s="1" t="n">
        <v>46223</v>
      </c>
      <c r="F256" t="inlineStr">
        <is>
          <t>GÄVLEBORGS LÄN</t>
        </is>
      </c>
      <c r="G256" t="inlineStr">
        <is>
          <t>GÄVLE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41083-2025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46223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40993-2025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41683-2025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46223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30104-2024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45485</v>
      </c>
      <c r="E260" s="1" t="n">
        <v>46223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30915-2025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46223</v>
      </c>
      <c r="F261" t="inlineStr">
        <is>
          <t>GÄVLEBORGS LÄN</t>
        </is>
      </c>
      <c r="G261" t="inlineStr">
        <is>
          <t>GÄVLE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46223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22577-2022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44713</v>
      </c>
      <c r="E263" s="1" t="n">
        <v>46223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46223</v>
      </c>
      <c r="F264" t="inlineStr">
        <is>
          <t>GÄVLEBORGS LÄN</t>
        </is>
      </c>
      <c r="G264" t="inlineStr">
        <is>
          <t>GÄVLE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46223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46223</v>
      </c>
      <c r="F266" t="inlineStr">
        <is>
          <t>GÄVLEBORGS LÄN</t>
        </is>
      </c>
      <c r="G266" t="inlineStr">
        <is>
          <t>GÄVLE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43087-2025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46223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46223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46223</v>
      </c>
      <c r="F269" t="inlineStr">
        <is>
          <t>GÄVLEBORGS LÄN</t>
        </is>
      </c>
      <c r="G269" t="inlineStr">
        <is>
          <t>GÄVLE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42907-2025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46223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46223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46223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46223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44708</v>
      </c>
      <c r="E274" s="1" t="n">
        <v>46223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46223</v>
      </c>
      <c r="F275" t="inlineStr">
        <is>
          <t>GÄVLEBORGS LÄN</t>
        </is>
      </c>
      <c r="G275" t="inlineStr">
        <is>
          <t>GÄVLE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43356-2025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46223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46223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46223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46223</v>
      </c>
      <c r="F279" t="inlineStr">
        <is>
          <t>GÄVLEBORGS LÄN</t>
        </is>
      </c>
      <c r="G279" t="inlineStr">
        <is>
          <t>GÄVLE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25276-2024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46223</v>
      </c>
      <c r="F280" t="inlineStr">
        <is>
          <t>GÄVLEBORGS LÄN</t>
        </is>
      </c>
      <c r="G280" t="inlineStr">
        <is>
          <t>GÄVLE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46223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46223</v>
      </c>
      <c r="F282" t="inlineStr">
        <is>
          <t>GÄVLEBORGS LÄN</t>
        </is>
      </c>
      <c r="G282" t="inlineStr">
        <is>
          <t>GÄVLE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25593-2024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46223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46223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39022-2025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46223</v>
      </c>
      <c r="F285" t="inlineStr">
        <is>
          <t>GÄVLEBORGS LÄN</t>
        </is>
      </c>
      <c r="G285" t="inlineStr">
        <is>
          <t>GÄVLE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34116-2025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46223</v>
      </c>
      <c r="F286" t="inlineStr">
        <is>
          <t>GÄVLEBORGS LÄN</t>
        </is>
      </c>
      <c r="G286" t="inlineStr">
        <is>
          <t>GÄVLE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21978-2025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46223</v>
      </c>
      <c r="F287" t="inlineStr">
        <is>
          <t>GÄVLEBORGS LÄN</t>
        </is>
      </c>
      <c r="G287" t="inlineStr">
        <is>
          <t>GÄVLE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34113-2025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46223</v>
      </c>
      <c r="F288" t="inlineStr">
        <is>
          <t>GÄVLEBORGS LÄN</t>
        </is>
      </c>
      <c r="G288" t="inlineStr">
        <is>
          <t>GÄVLE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53281-2024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46223</v>
      </c>
      <c r="F289" t="inlineStr">
        <is>
          <t>GÄVLEBORGS LÄN</t>
        </is>
      </c>
      <c r="G289" t="inlineStr">
        <is>
          <t>GÄVLE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46011-2025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46223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45850-2025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45923</v>
      </c>
      <c r="E291" s="1" t="n">
        <v>46223</v>
      </c>
      <c r="F291" t="inlineStr">
        <is>
          <t>GÄVLEBORGS LÄN</t>
        </is>
      </c>
      <c r="G291" t="inlineStr">
        <is>
          <t>GÄVLE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34722-2025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45848</v>
      </c>
      <c r="E292" s="1" t="n">
        <v>46223</v>
      </c>
      <c r="F292" t="inlineStr">
        <is>
          <t>GÄVLEBORGS LÄN</t>
        </is>
      </c>
      <c r="G292" t="inlineStr">
        <is>
          <t>GÄVLE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46223</v>
      </c>
      <c r="F293" t="inlineStr">
        <is>
          <t>GÄVLEBORGS LÄN</t>
        </is>
      </c>
      <c r="G293" t="inlineStr">
        <is>
          <t>GÄVLE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46223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34725-2025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45848</v>
      </c>
      <c r="E295" s="1" t="n">
        <v>46223</v>
      </c>
      <c r="F295" t="inlineStr">
        <is>
          <t>GÄVLEBORGS LÄN</t>
        </is>
      </c>
      <c r="G295" t="inlineStr">
        <is>
          <t>GÄVLE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37253-2024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46223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46223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17062-2023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45034</v>
      </c>
      <c r="E298" s="1" t="n">
        <v>46223</v>
      </c>
      <c r="F298" t="inlineStr">
        <is>
          <t>GÄVLEBORGS LÄN</t>
        </is>
      </c>
      <c r="G298" t="inlineStr">
        <is>
          <t>GÄVLE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46783-2025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46223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46790-2025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46223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35337-2025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45854</v>
      </c>
      <c r="E301" s="1" t="n">
        <v>46223</v>
      </c>
      <c r="F301" t="inlineStr">
        <is>
          <t>GÄVLEBORGS LÄN</t>
        </is>
      </c>
      <c r="G301" t="inlineStr">
        <is>
          <t>GÄVLE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47171-2025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46223</v>
      </c>
      <c r="F302" t="inlineStr">
        <is>
          <t>GÄVLEBORGS LÄN</t>
        </is>
      </c>
      <c r="G302" t="inlineStr">
        <is>
          <t>GÄVLE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47172-2025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46223</v>
      </c>
      <c r="F303" t="inlineStr">
        <is>
          <t>GÄVLEBORGS LÄN</t>
        </is>
      </c>
      <c r="G303" t="inlineStr">
        <is>
          <t>GÄVLE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35650-2025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45859</v>
      </c>
      <c r="E304" s="1" t="n">
        <v>46223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6683-2026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46223</v>
      </c>
      <c r="F305" t="inlineStr">
        <is>
          <t>GÄVLEBORGS LÄN</t>
        </is>
      </c>
      <c r="G305" t="inlineStr">
        <is>
          <t>GÄVLE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46223</v>
      </c>
      <c r="F306" t="inlineStr">
        <is>
          <t>GÄVLEBORGS LÄN</t>
        </is>
      </c>
      <c r="G306" t="inlineStr">
        <is>
          <t>GÄVLE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45862</v>
      </c>
      <c r="E307" s="1" t="n">
        <v>46223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35878-2025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46223</v>
      </c>
      <c r="F308" t="inlineStr">
        <is>
          <t>GÄVLEBORGS LÄN</t>
        </is>
      </c>
      <c r="G308" t="inlineStr">
        <is>
          <t>GÄVLE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47994-2025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46223</v>
      </c>
      <c r="F309" t="inlineStr">
        <is>
          <t>GÄVLEBORGS LÄN</t>
        </is>
      </c>
      <c r="G309" t="inlineStr">
        <is>
          <t>GÄVLE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46223</v>
      </c>
      <c r="F310" t="inlineStr">
        <is>
          <t>GÄVLEBORGS LÄN</t>
        </is>
      </c>
      <c r="G310" t="inlineStr">
        <is>
          <t>GÄVLE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47602-2025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46223</v>
      </c>
      <c r="F311" t="inlineStr">
        <is>
          <t>GÄVLEBORGS LÄN</t>
        </is>
      </c>
      <c r="G311" t="inlineStr">
        <is>
          <t>GÄVLE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6681-2026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46223</v>
      </c>
      <c r="F312" t="inlineStr">
        <is>
          <t>GÄVLEBORGS LÄN</t>
        </is>
      </c>
      <c r="G312" t="inlineStr">
        <is>
          <t>GÄVLE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6673-2026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46223</v>
      </c>
      <c r="F313" t="inlineStr">
        <is>
          <t>GÄVLEBORGS LÄN</t>
        </is>
      </c>
      <c r="G313" t="inlineStr">
        <is>
          <t>GÄVLE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46223</v>
      </c>
      <c r="F314" t="inlineStr">
        <is>
          <t>GÄVLEBORGS LÄN</t>
        </is>
      </c>
      <c r="G314" t="inlineStr">
        <is>
          <t>GÄVLE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35919-2025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45862</v>
      </c>
      <c r="E315" s="1" t="n">
        <v>46223</v>
      </c>
      <c r="F315" t="inlineStr">
        <is>
          <t>GÄVLEBORGS LÄN</t>
        </is>
      </c>
      <c r="G315" t="inlineStr">
        <is>
          <t>GÄVLE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48246-2025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46223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48251-2025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46223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25466-2023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46223</v>
      </c>
      <c r="F318" t="inlineStr">
        <is>
          <t>GÄVLEBORGS LÄN</t>
        </is>
      </c>
      <c r="G318" t="inlineStr">
        <is>
          <t>GÄVLE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46223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48117-2025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46223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45866</v>
      </c>
      <c r="E321" s="1" t="n">
        <v>46223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45672</v>
      </c>
      <c r="E322" s="1" t="n">
        <v>46223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36255-2025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46223</v>
      </c>
      <c r="F323" t="inlineStr">
        <is>
          <t>GÄVLEBORGS LÄN</t>
        </is>
      </c>
      <c r="G323" t="inlineStr">
        <is>
          <t>GÄVLE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7252-2026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46223</v>
      </c>
      <c r="F324" t="inlineStr">
        <is>
          <t>GÄVLEBORGS LÄN</t>
        </is>
      </c>
      <c r="G324" t="inlineStr">
        <is>
          <t>GÄVLE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36516-2025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45869</v>
      </c>
      <c r="E325" s="1" t="n">
        <v>46223</v>
      </c>
      <c r="F325" t="inlineStr">
        <is>
          <t>GÄVLEBORGS LÄN</t>
        </is>
      </c>
      <c r="G325" t="inlineStr">
        <is>
          <t>GÄVLE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44936</v>
      </c>
      <c r="E326" s="1" t="n">
        <v>46223</v>
      </c>
      <c r="F326" t="inlineStr">
        <is>
          <t>GÄVLEBORGS LÄN</t>
        </is>
      </c>
      <c r="G326" t="inlineStr">
        <is>
          <t>GÄVLE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14553-2026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46223</v>
      </c>
      <c r="F327" t="inlineStr">
        <is>
          <t>GÄVLEBORGS LÄN</t>
        </is>
      </c>
      <c r="G327" t="inlineStr">
        <is>
          <t>GÄVLE</t>
        </is>
      </c>
      <c r="H327" t="inlineStr">
        <is>
          <t>Övriga statliga verk och myndigheter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7239-2026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46223</v>
      </c>
      <c r="F328" t="inlineStr">
        <is>
          <t>GÄVLEBORGS LÄN</t>
        </is>
      </c>
      <c r="G328" t="inlineStr">
        <is>
          <t>GÄVLE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66351-2021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44518</v>
      </c>
      <c r="E329" s="1" t="n">
        <v>46223</v>
      </c>
      <c r="F329" t="inlineStr">
        <is>
          <t>GÄVLEBORGS LÄN</t>
        </is>
      </c>
      <c r="G329" t="inlineStr">
        <is>
          <t>GÄVLE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36493-2025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46223</v>
      </c>
      <c r="F330" t="inlineStr">
        <is>
          <t>GÄVLEBORGS LÄN</t>
        </is>
      </c>
      <c r="G330" t="inlineStr">
        <is>
          <t>GÄVLE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49384-2025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46223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46223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45084</v>
      </c>
      <c r="E333" s="1" t="n">
        <v>46223</v>
      </c>
      <c r="F333" t="inlineStr">
        <is>
          <t>GÄVLEBORGS LÄN</t>
        </is>
      </c>
      <c r="G333" t="inlineStr">
        <is>
          <t>GÄVLE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57928-2024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46223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62255-2022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44922</v>
      </c>
      <c r="E335" s="1" t="n">
        <v>46223</v>
      </c>
      <c r="F335" t="inlineStr">
        <is>
          <t>GÄVLEBORGS LÄN</t>
        </is>
      </c>
      <c r="G335" t="inlineStr">
        <is>
          <t>GÄVLE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44369-2025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46223</v>
      </c>
      <c r="F336" t="inlineStr">
        <is>
          <t>GÄVLEBORGS LÄN</t>
        </is>
      </c>
      <c r="G336" t="inlineStr">
        <is>
          <t>GÄVLE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46223</v>
      </c>
      <c r="F337" t="inlineStr">
        <is>
          <t>GÄVLEBORGS LÄN</t>
        </is>
      </c>
      <c r="G337" t="inlineStr">
        <is>
          <t>GÄVLE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49934-2025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46223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49842-2025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46223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46223</v>
      </c>
      <c r="F340" t="inlineStr">
        <is>
          <t>GÄVLEBORGS LÄN</t>
        </is>
      </c>
      <c r="G340" t="inlineStr">
        <is>
          <t>GÄVLE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46223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49511-2025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46223</v>
      </c>
      <c r="F342" t="inlineStr">
        <is>
          <t>GÄVLEBORGS LÄN</t>
        </is>
      </c>
      <c r="G342" t="inlineStr">
        <is>
          <t>GÄVLE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46223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50356-2025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46223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50345-2025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46223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38240-2024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45545</v>
      </c>
      <c r="E346" s="1" t="n">
        <v>46223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45817</v>
      </c>
      <c r="E347" s="1" t="n">
        <v>46223</v>
      </c>
      <c r="F347" t="inlineStr">
        <is>
          <t>GÄVLEBORGS LÄN</t>
        </is>
      </c>
      <c r="G347" t="inlineStr">
        <is>
          <t>GÄVLE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46223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14807-2023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46223</v>
      </c>
      <c r="F349" t="inlineStr">
        <is>
          <t>GÄVLEBORGS LÄN</t>
        </is>
      </c>
      <c r="G349" t="inlineStr">
        <is>
          <t>GÄVLE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31062-2023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45113</v>
      </c>
      <c r="E350" s="1" t="n">
        <v>46223</v>
      </c>
      <c r="F350" t="inlineStr">
        <is>
          <t>GÄVLEBORGS LÄN</t>
        </is>
      </c>
      <c r="G350" t="inlineStr">
        <is>
          <t>GÄVLE</t>
        </is>
      </c>
      <c r="H350" t="inlineStr">
        <is>
          <t>Kommuner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51758-2025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46223</v>
      </c>
      <c r="F351" t="inlineStr">
        <is>
          <t>GÄVLEBORGS LÄN</t>
        </is>
      </c>
      <c r="G351" t="inlineStr">
        <is>
          <t>GÄVLE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46223</v>
      </c>
      <c r="F352" t="inlineStr">
        <is>
          <t>GÄVLEBORGS LÄN</t>
        </is>
      </c>
      <c r="G352" t="inlineStr">
        <is>
          <t>GÄVLE</t>
        </is>
      </c>
      <c r="H352" t="inlineStr">
        <is>
          <t>Kyrkan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46223</v>
      </c>
      <c r="F353" t="inlineStr">
        <is>
          <t>GÄVLEBORGS LÄN</t>
        </is>
      </c>
      <c r="G353" t="inlineStr">
        <is>
          <t>GÄVLE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46223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57570-2024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46223</v>
      </c>
      <c r="F355" t="inlineStr">
        <is>
          <t>GÄVLEBORGS LÄN</t>
        </is>
      </c>
      <c r="G355" t="inlineStr">
        <is>
          <t>GÄVLE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43556-2023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46223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19730-2022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44694</v>
      </c>
      <c r="E357" s="1" t="n">
        <v>46223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8292-2026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46223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8303-2026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46223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46223</v>
      </c>
      <c r="F360" t="inlineStr">
        <is>
          <t>GÄVLEBORGS LÄN</t>
        </is>
      </c>
      <c r="G360" t="inlineStr">
        <is>
          <t>GÄVLE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8298-2026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46223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8301-2026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46063</v>
      </c>
      <c r="E362" s="1" t="n">
        <v>46223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52156-2025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46223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46223</v>
      </c>
      <c r="F364" t="inlineStr">
        <is>
          <t>GÄVLEBORGS LÄN</t>
        </is>
      </c>
      <c r="G364" t="inlineStr">
        <is>
          <t>GÄVLE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48247-2025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46223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45660</v>
      </c>
      <c r="E366" s="1" t="n">
        <v>46223</v>
      </c>
      <c r="F366" t="inlineStr">
        <is>
          <t>GÄVLEBORGS LÄN</t>
        </is>
      </c>
      <c r="G366" t="inlineStr">
        <is>
          <t>GÄVLE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52801-2025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46223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29923-2022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44756</v>
      </c>
      <c r="E368" s="1" t="n">
        <v>46223</v>
      </c>
      <c r="F368" t="inlineStr">
        <is>
          <t>GÄVLEBORGS LÄN</t>
        </is>
      </c>
      <c r="G368" t="inlineStr">
        <is>
          <t>GÄVLE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29927-2022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44756</v>
      </c>
      <c r="E369" s="1" t="n">
        <v>46223</v>
      </c>
      <c r="F369" t="inlineStr">
        <is>
          <t>GÄVLEBORGS LÄN</t>
        </is>
      </c>
      <c r="G369" t="inlineStr">
        <is>
          <t>GÄVLE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52897-2025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46223</v>
      </c>
      <c r="F370" t="inlineStr">
        <is>
          <t>GÄVLEBORGS LÄN</t>
        </is>
      </c>
      <c r="G370" t="inlineStr">
        <is>
          <t>GÄVLE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8558-2026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46223</v>
      </c>
      <c r="F371" t="inlineStr">
        <is>
          <t>GÄVLEBORGS LÄN</t>
        </is>
      </c>
      <c r="G371" t="inlineStr">
        <is>
          <t>GÄVLE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52970-2025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45957</v>
      </c>
      <c r="E372" s="1" t="n">
        <v>46223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14801-2023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46223</v>
      </c>
      <c r="F373" t="inlineStr">
        <is>
          <t>GÄVLEBORGS LÄN</t>
        </is>
      </c>
      <c r="G373" t="inlineStr">
        <is>
          <t>GÄVLE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61879-2024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45652</v>
      </c>
      <c r="E374" s="1" t="n">
        <v>46223</v>
      </c>
      <c r="F374" t="inlineStr">
        <is>
          <t>GÄVLEBORGS LÄN</t>
        </is>
      </c>
      <c r="G374" t="inlineStr">
        <is>
          <t>GÄVLE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8954-2026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46223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9129-2026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46223</v>
      </c>
      <c r="F376" t="inlineStr">
        <is>
          <t>GÄVLEBORGS LÄN</t>
        </is>
      </c>
      <c r="G376" t="inlineStr">
        <is>
          <t>GÄVLE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46223</v>
      </c>
      <c r="F377" t="inlineStr">
        <is>
          <t>GÄVLEBORGS LÄN</t>
        </is>
      </c>
      <c r="G377" t="inlineStr">
        <is>
          <t>GÄVLE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47143-2024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46223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46071</v>
      </c>
      <c r="E379" s="1" t="n">
        <v>46223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10095-2025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46223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54135-2025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46223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9779-2026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46223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46223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10118-2025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46223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9673-2026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46223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10273-2026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46223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54480-2025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46223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25645-2023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45089</v>
      </c>
      <c r="E388" s="1" t="n">
        <v>46223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54768-2025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46223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54599-2025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46223</v>
      </c>
      <c r="F390" t="inlineStr">
        <is>
          <t>GÄVLEBORGS LÄN</t>
        </is>
      </c>
      <c r="G390" t="inlineStr">
        <is>
          <t>GÄVLE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46223</v>
      </c>
      <c r="F391" t="inlineStr">
        <is>
          <t>GÄVLEBORGS LÄN</t>
        </is>
      </c>
      <c r="G391" t="inlineStr">
        <is>
          <t>GÄVLE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10257-2026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46223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10063-2026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46223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45660</v>
      </c>
      <c r="E394" s="1" t="n">
        <v>46223</v>
      </c>
      <c r="F394" t="inlineStr">
        <is>
          <t>GÄVLEBORGS LÄN</t>
        </is>
      </c>
      <c r="G394" t="inlineStr">
        <is>
          <t>GÄVLE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46223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45660</v>
      </c>
      <c r="E396" s="1" t="n">
        <v>46223</v>
      </c>
      <c r="F396" t="inlineStr">
        <is>
          <t>GÄVLEBORGS LÄN</t>
        </is>
      </c>
      <c r="G396" t="inlineStr">
        <is>
          <t>GÄVLE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54958-2025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45967</v>
      </c>
      <c r="E397" s="1" t="n">
        <v>46223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54960-2025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46223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54966-2025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45967</v>
      </c>
      <c r="E399" s="1" t="n">
        <v>46223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55221-2025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46223</v>
      </c>
      <c r="F400" t="inlineStr">
        <is>
          <t>GÄVLEBORGS LÄN</t>
        </is>
      </c>
      <c r="G400" t="inlineStr">
        <is>
          <t>GÄVLE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54959-2025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46223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41708-2023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46223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41712-2023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46223</v>
      </c>
      <c r="F403" t="inlineStr">
        <is>
          <t>GÄVLEBORGS LÄN</t>
        </is>
      </c>
      <c r="G403" t="inlineStr">
        <is>
          <t>GÄVLE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46223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8031-2024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45350</v>
      </c>
      <c r="E405" s="1" t="n">
        <v>46223</v>
      </c>
      <c r="F405" t="inlineStr">
        <is>
          <t>GÄVLEBORGS LÄN</t>
        </is>
      </c>
      <c r="G405" t="inlineStr">
        <is>
          <t>GÄVLE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7792-2023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46223</v>
      </c>
      <c r="F406" t="inlineStr">
        <is>
          <t>GÄVLEBORGS LÄN</t>
        </is>
      </c>
      <c r="G406" t="inlineStr">
        <is>
          <t>GÄVLE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44589</v>
      </c>
      <c r="E407" s="1" t="n">
        <v>46223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46223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11114-2026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46223</v>
      </c>
      <c r="F409" t="inlineStr">
        <is>
          <t>GÄVLEBORGS LÄN</t>
        </is>
      </c>
      <c r="G409" t="inlineStr">
        <is>
          <t>GÄVLE</t>
        </is>
      </c>
      <c r="H409" t="inlineStr">
        <is>
          <t>Kommuner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56487-2023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46223</v>
      </c>
      <c r="F410" t="inlineStr">
        <is>
          <t>GÄVLEBORGS LÄN</t>
        </is>
      </c>
      <c r="G410" t="inlineStr">
        <is>
          <t>GÄVLE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56271-2025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46223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56277-2025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46223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56268-2025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46223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56269-2025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46223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56275-2025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46223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56123-2025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46223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56270-2025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46223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11523-2026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46223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56121-2025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46223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56267-2025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46223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56272-2025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46223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46223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56120-2025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46223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56122-2025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46223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71249-2021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46223</v>
      </c>
      <c r="F425" t="inlineStr">
        <is>
          <t>GÄVLEBORGS LÄN</t>
        </is>
      </c>
      <c r="G425" t="inlineStr">
        <is>
          <t>GÄVLE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56774-2025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46223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56776-2025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46223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56773-2025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46223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16023-2023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45026</v>
      </c>
      <c r="E429" s="1" t="n">
        <v>46223</v>
      </c>
      <c r="F429" t="inlineStr">
        <is>
          <t>GÄVLEBORGS LÄN</t>
        </is>
      </c>
      <c r="G429" t="inlineStr">
        <is>
          <t>GÄVLE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57341-2023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45245</v>
      </c>
      <c r="E430" s="1" t="n">
        <v>46223</v>
      </c>
      <c r="F430" t="inlineStr">
        <is>
          <t>GÄVLEBORGS LÄN</t>
        </is>
      </c>
      <c r="G430" t="inlineStr">
        <is>
          <t>GÄVLE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46223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45320</v>
      </c>
      <c r="E432" s="1" t="n">
        <v>46223</v>
      </c>
      <c r="F432" t="inlineStr">
        <is>
          <t>GÄVLEBORGS LÄN</t>
        </is>
      </c>
      <c r="G432" t="inlineStr">
        <is>
          <t>GÄVLE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14792-2023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45014</v>
      </c>
      <c r="E433" s="1" t="n">
        <v>46223</v>
      </c>
      <c r="F433" t="inlineStr">
        <is>
          <t>GÄVLEBORGS LÄN</t>
        </is>
      </c>
      <c r="G433" t="inlineStr">
        <is>
          <t>GÄVLE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58542-2025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46223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12015-2026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46223</v>
      </c>
      <c r="F435" t="inlineStr">
        <is>
          <t>GÄVLEBORGS LÄN</t>
        </is>
      </c>
      <c r="G435" t="inlineStr">
        <is>
          <t>GÄVLE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45448-2025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46223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43742-2025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46223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46223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45469-2025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46223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46223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45426-2025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46223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45546-2025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46223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43771-2025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46223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43780-2025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46223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45415-2025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46223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45438-2025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46223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58925-2025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46223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12738-2026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46223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45456-2025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46223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43764-2025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45912</v>
      </c>
      <c r="E450" s="1" t="n">
        <v>46223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45410-2025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46223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45442-2025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46223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46223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7743-2025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46223</v>
      </c>
      <c r="F454" t="inlineStr">
        <is>
          <t>GÄVLEBORGS LÄN</t>
        </is>
      </c>
      <c r="G454" t="inlineStr">
        <is>
          <t>GÄVLE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47746-2023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45203</v>
      </c>
      <c r="E455" s="1" t="n">
        <v>46223</v>
      </c>
      <c r="F455" t="inlineStr">
        <is>
          <t>GÄVLEBORGS LÄN</t>
        </is>
      </c>
      <c r="G455" t="inlineStr">
        <is>
          <t>GÄVLE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13104-2026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46223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12990-2026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46223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12948-2026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46223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59627-2025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46223</v>
      </c>
      <c r="F459" t="inlineStr">
        <is>
          <t>GÄVLEBORGS LÄN</t>
        </is>
      </c>
      <c r="G459" t="inlineStr">
        <is>
          <t>GÄVLE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60038-2025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46223</v>
      </c>
      <c r="F460" t="inlineStr">
        <is>
          <t>GÄVLEBORGS LÄN</t>
        </is>
      </c>
      <c r="G460" t="inlineStr">
        <is>
          <t>GÄVLE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22466-2023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46223</v>
      </c>
      <c r="F461" t="inlineStr">
        <is>
          <t>GÄVLEBORGS LÄN</t>
        </is>
      </c>
      <c r="G461" t="inlineStr">
        <is>
          <t>GÄVLE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17605-2025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45757</v>
      </c>
      <c r="E462" s="1" t="n">
        <v>46223</v>
      </c>
      <c r="F462" t="inlineStr">
        <is>
          <t>GÄVLEBORGS LÄN</t>
        </is>
      </c>
      <c r="G462" t="inlineStr">
        <is>
          <t>GÄVLE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17607-2025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45757</v>
      </c>
      <c r="E463" s="1" t="n">
        <v>46223</v>
      </c>
      <c r="F463" t="inlineStr">
        <is>
          <t>GÄVLEBORGS LÄN</t>
        </is>
      </c>
      <c r="G463" t="inlineStr">
        <is>
          <t>GÄVLE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25812-2023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46223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12952-2026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46223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13475-2026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46223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13498-2026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46223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13521-2026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46223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13503-2026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46223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60105-2025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45994</v>
      </c>
      <c r="E470" s="1" t="n">
        <v>46223</v>
      </c>
      <c r="F470" t="inlineStr">
        <is>
          <t>GÄVLEBORGS LÄN</t>
        </is>
      </c>
      <c r="G470" t="inlineStr">
        <is>
          <t>GÄVLE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13317-2026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46223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13574-2026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46095</v>
      </c>
      <c r="E472" s="1" t="n">
        <v>46223</v>
      </c>
      <c r="F472" t="inlineStr">
        <is>
          <t>GÄVLEBORGS LÄN</t>
        </is>
      </c>
      <c r="G472" t="inlineStr">
        <is>
          <t>GÄVLE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13489-2026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46223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46223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13389-2026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46223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60536-2025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46223</v>
      </c>
      <c r="F476" t="inlineStr">
        <is>
          <t>GÄVLEBORGS LÄN</t>
        </is>
      </c>
      <c r="G476" t="inlineStr">
        <is>
          <t>GÄVLE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13432-2026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46223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46223</v>
      </c>
      <c r="F478" t="inlineStr">
        <is>
          <t>GÄVLEBORGS LÄN</t>
        </is>
      </c>
      <c r="G478" t="inlineStr">
        <is>
          <t>GÄVLE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13527-2026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46223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60532-2025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46223</v>
      </c>
      <c r="F480" t="inlineStr">
        <is>
          <t>GÄVLEBORGS LÄN</t>
        </is>
      </c>
      <c r="G480" t="inlineStr">
        <is>
          <t>GÄVLE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55217-2025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46223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13500-2026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46223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60364-2025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46223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60922-2025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45999</v>
      </c>
      <c r="E484" s="1" t="n">
        <v>46223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46223</v>
      </c>
      <c r="F485" t="inlineStr">
        <is>
          <t>GÄVLEBORGS LÄN</t>
        </is>
      </c>
      <c r="G485" t="inlineStr">
        <is>
          <t>GÄVLE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17404-2025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45757</v>
      </c>
      <c r="E486" s="1" t="n">
        <v>46223</v>
      </c>
      <c r="F486" t="inlineStr">
        <is>
          <t>GÄVLEBORGS LÄN</t>
        </is>
      </c>
      <c r="G486" t="inlineStr">
        <is>
          <t>GÄVLE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62983-2023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46223</v>
      </c>
      <c r="F487" t="inlineStr">
        <is>
          <t>GÄVLEBORGS LÄN</t>
        </is>
      </c>
      <c r="G487" t="inlineStr">
        <is>
          <t>GÄVLE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46223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50871-2022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44867</v>
      </c>
      <c r="E489" s="1" t="n">
        <v>46223</v>
      </c>
      <c r="F489" t="inlineStr">
        <is>
          <t>GÄVLEBORGS LÄN</t>
        </is>
      </c>
      <c r="G489" t="inlineStr">
        <is>
          <t>GÄVLE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61648-2025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46223</v>
      </c>
      <c r="F490" t="inlineStr">
        <is>
          <t>GÄVLEBORGS LÄN</t>
        </is>
      </c>
      <c r="G490" t="inlineStr">
        <is>
          <t>GÄVLE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61651-2025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46223</v>
      </c>
      <c r="F491" t="inlineStr">
        <is>
          <t>GÄVLEBORGS LÄN</t>
        </is>
      </c>
      <c r="G491" t="inlineStr">
        <is>
          <t>GÄVLE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61650-2025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46223</v>
      </c>
      <c r="F492" t="inlineStr">
        <is>
          <t>GÄVLEBORGS LÄN</t>
        </is>
      </c>
      <c r="G492" t="inlineStr">
        <is>
          <t>GÄVLE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13893-2026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46223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14280-2026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46223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61449-2025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46223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9.300000000000001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61880-2025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46003</v>
      </c>
      <c r="E496" s="1" t="n">
        <v>46223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46223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61879-2025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46003</v>
      </c>
      <c r="E498" s="1" t="n">
        <v>46223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46101</v>
      </c>
      <c r="E499" s="1" t="n">
        <v>46223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14401-2026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46223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62742-2025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46223</v>
      </c>
      <c r="F501" t="inlineStr">
        <is>
          <t>GÄVLEBORGS LÄN</t>
        </is>
      </c>
      <c r="G501" t="inlineStr">
        <is>
          <t>GÄVLE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46223</v>
      </c>
      <c r="F502" t="inlineStr">
        <is>
          <t>GÄVLEBORGS LÄN</t>
        </is>
      </c>
      <c r="G502" t="inlineStr">
        <is>
          <t>GÄVLE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29862-2023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46223</v>
      </c>
      <c r="F503" t="inlineStr">
        <is>
          <t>GÄVLEBORGS LÄN</t>
        </is>
      </c>
      <c r="G503" t="inlineStr">
        <is>
          <t>GÄVLE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14459-2026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46223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34600-2024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46223</v>
      </c>
      <c r="F505" t="inlineStr">
        <is>
          <t>GÄVLEBORGS LÄN</t>
        </is>
      </c>
      <c r="G505" t="inlineStr">
        <is>
          <t>GÄVLE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15046-2026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46223</v>
      </c>
      <c r="F506" t="inlineStr">
        <is>
          <t>GÄVLEBORGS LÄN</t>
        </is>
      </c>
      <c r="G506" t="inlineStr">
        <is>
          <t>GÄVLE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63801-2025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46019</v>
      </c>
      <c r="E507" s="1" t="n">
        <v>46223</v>
      </c>
      <c r="F507" t="inlineStr">
        <is>
          <t>GÄVLEBORGS LÄN</t>
        </is>
      </c>
      <c r="G507" t="inlineStr">
        <is>
          <t>GÄVLE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54953-2025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46223</v>
      </c>
      <c r="F508" t="inlineStr">
        <is>
          <t>GÄVLEBORGS LÄN</t>
        </is>
      </c>
      <c r="G508" t="inlineStr">
        <is>
          <t>GÄVLE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47694-2025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46223</v>
      </c>
      <c r="F509" t="inlineStr">
        <is>
          <t>GÄVLEBORGS LÄN</t>
        </is>
      </c>
      <c r="G509" t="inlineStr">
        <is>
          <t>GÄVLE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48864-2025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45937</v>
      </c>
      <c r="E510" s="1" t="n">
        <v>46223</v>
      </c>
      <c r="F510" t="inlineStr">
        <is>
          <t>GÄVLEBORGS LÄN</t>
        </is>
      </c>
      <c r="G510" t="inlineStr">
        <is>
          <t>GÄVLE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35450-2025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45855</v>
      </c>
      <c r="E511" s="1" t="n">
        <v>46223</v>
      </c>
      <c r="F511" t="inlineStr">
        <is>
          <t>GÄVLEBORGS LÄN</t>
        </is>
      </c>
      <c r="G511" t="inlineStr">
        <is>
          <t>GÄVLE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15097-2026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46223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46019</v>
      </c>
      <c r="E513" s="1" t="n">
        <v>46223</v>
      </c>
      <c r="F513" t="inlineStr">
        <is>
          <t>GÄVLEBORGS LÄN</t>
        </is>
      </c>
      <c r="G513" t="inlineStr">
        <is>
          <t>GÄVLE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42788-2025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45908</v>
      </c>
      <c r="E514" s="1" t="n">
        <v>46223</v>
      </c>
      <c r="F514" t="inlineStr">
        <is>
          <t>GÄVLEBORGS LÄN</t>
        </is>
      </c>
      <c r="G514" t="inlineStr">
        <is>
          <t>GÄVLE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47942-2025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46223</v>
      </c>
      <c r="F515" t="inlineStr">
        <is>
          <t>GÄVLEBORGS LÄN</t>
        </is>
      </c>
      <c r="G515" t="inlineStr">
        <is>
          <t>GÄVLE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47981-2025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46223</v>
      </c>
      <c r="F516" t="inlineStr">
        <is>
          <t>GÄVLEBORGS LÄN</t>
        </is>
      </c>
      <c r="G516" t="inlineStr">
        <is>
          <t>GÄVLE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48928-2025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46223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42692-2025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45908</v>
      </c>
      <c r="E518" s="1" t="n">
        <v>46223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64142-2025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46022</v>
      </c>
      <c r="E519" s="1" t="n">
        <v>46223</v>
      </c>
      <c r="F519" t="inlineStr">
        <is>
          <t>GÄVLEBORGS LÄN</t>
        </is>
      </c>
      <c r="G519" t="inlineStr">
        <is>
          <t>GÄVLE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46223</v>
      </c>
      <c r="F520" t="inlineStr">
        <is>
          <t>GÄVLEBORGS LÄN</t>
        </is>
      </c>
      <c r="G520" t="inlineStr">
        <is>
          <t>GÄVLE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14963-2026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46223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46800-2021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44446</v>
      </c>
      <c r="E522" s="1" t="n">
        <v>46223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61016-2024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45645</v>
      </c>
      <c r="E523" s="1" t="n">
        <v>46223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46223</v>
      </c>
      <c r="F524" t="inlineStr">
        <is>
          <t>GÄVLEBORGS LÄN</t>
        </is>
      </c>
      <c r="G524" t="inlineStr">
        <is>
          <t>GÄVLE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45672</v>
      </c>
      <c r="E525" s="1" t="n">
        <v>46223</v>
      </c>
      <c r="F525" t="inlineStr">
        <is>
          <t>GÄVLEBORGS LÄN</t>
        </is>
      </c>
      <c r="G525" t="inlineStr">
        <is>
          <t>GÄVLE</t>
        </is>
      </c>
      <c r="H525" t="inlineStr">
        <is>
          <t>Kyrkan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45660</v>
      </c>
      <c r="E526" s="1" t="n">
        <v>46223</v>
      </c>
      <c r="F526" t="inlineStr">
        <is>
          <t>GÄVLEBORGS LÄN</t>
        </is>
      </c>
      <c r="G526" t="inlineStr">
        <is>
          <t>GÄVLE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45660</v>
      </c>
      <c r="E527" s="1" t="n">
        <v>46223</v>
      </c>
      <c r="F527" t="inlineStr">
        <is>
          <t>GÄVLEBORGS LÄN</t>
        </is>
      </c>
      <c r="G527" t="inlineStr">
        <is>
          <t>GÄVLE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31544-2023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46223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46223</v>
      </c>
      <c r="F529" t="inlineStr">
        <is>
          <t>GÄVLEBORGS LÄN</t>
        </is>
      </c>
      <c r="G529" t="inlineStr">
        <is>
          <t>GÄVLE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44935</v>
      </c>
      <c r="E530" s="1" t="n">
        <v>46223</v>
      </c>
      <c r="F530" t="inlineStr">
        <is>
          <t>GÄVLEBORGS LÄN</t>
        </is>
      </c>
      <c r="G530" t="inlineStr">
        <is>
          <t>GÄVLE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46223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31011-2023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46223</v>
      </c>
      <c r="F532" t="inlineStr">
        <is>
          <t>GÄVLEBORGS LÄN</t>
        </is>
      </c>
      <c r="G532" t="inlineStr">
        <is>
          <t>GÄVLE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15535-2026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46223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46223</v>
      </c>
      <c r="F534" t="inlineStr">
        <is>
          <t>GÄVLEBORGS LÄN</t>
        </is>
      </c>
      <c r="G534" t="inlineStr">
        <is>
          <t>GÄVLE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61878-2025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46223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15843-2026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46223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38495-2023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45162</v>
      </c>
      <c r="E537" s="1" t="n">
        <v>46223</v>
      </c>
      <c r="F537" t="inlineStr">
        <is>
          <t>GÄVLEBORGS LÄN</t>
        </is>
      </c>
      <c r="G537" t="inlineStr">
        <is>
          <t>GÄVLE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16430-2026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46223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50314-2024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45600</v>
      </c>
      <c r="E539" s="1" t="n">
        <v>46223</v>
      </c>
      <c r="F539" t="inlineStr">
        <is>
          <t>GÄVLEBORGS LÄN</t>
        </is>
      </c>
      <c r="G539" t="inlineStr">
        <is>
          <t>GÄVLE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33449-2024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45519</v>
      </c>
      <c r="E540" s="1" t="n">
        <v>46223</v>
      </c>
      <c r="F540" t="inlineStr">
        <is>
          <t>GÄVLEBORGS LÄN</t>
        </is>
      </c>
      <c r="G540" t="inlineStr">
        <is>
          <t>GÄVLE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37146-2024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46223</v>
      </c>
      <c r="F541" t="inlineStr">
        <is>
          <t>GÄVLEBORGS LÄN</t>
        </is>
      </c>
      <c r="G541" t="inlineStr">
        <is>
          <t>GÄVLE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15985-2026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46223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60349-2022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44910</v>
      </c>
      <c r="E543" s="1" t="n">
        <v>46223</v>
      </c>
      <c r="F543" t="inlineStr">
        <is>
          <t>GÄVLEBORGS LÄN</t>
        </is>
      </c>
      <c r="G543" t="inlineStr">
        <is>
          <t>GÄVLE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60396-2022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46223</v>
      </c>
      <c r="F544" t="inlineStr">
        <is>
          <t>GÄVLEBORGS LÄN</t>
        </is>
      </c>
      <c r="G544" t="inlineStr">
        <is>
          <t>GÄVLE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62766-2022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44885</v>
      </c>
      <c r="E545" s="1" t="n">
        <v>46223</v>
      </c>
      <c r="F545" t="inlineStr">
        <is>
          <t>GÄVLEBORGS LÄN</t>
        </is>
      </c>
      <c r="G545" t="inlineStr">
        <is>
          <t>GÄVLE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46549-2021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44445</v>
      </c>
      <c r="E546" s="1" t="n">
        <v>46223</v>
      </c>
      <c r="F546" t="inlineStr">
        <is>
          <t>GÄVLEBORGS LÄN</t>
        </is>
      </c>
      <c r="G546" t="inlineStr">
        <is>
          <t>GÄVLE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1594-2024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45306</v>
      </c>
      <c r="E547" s="1" t="n">
        <v>46223</v>
      </c>
      <c r="F547" t="inlineStr">
        <is>
          <t>GÄVLEBORGS LÄN</t>
        </is>
      </c>
      <c r="G547" t="inlineStr">
        <is>
          <t>GÄVLE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38255-2023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46223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46223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72734-2021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44546</v>
      </c>
      <c r="E550" s="1" t="n">
        <v>46223</v>
      </c>
      <c r="F550" t="inlineStr">
        <is>
          <t>GÄVLEBORGS LÄN</t>
        </is>
      </c>
      <c r="G550" t="inlineStr">
        <is>
          <t>GÄVLE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17695-2026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46223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17471-2026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46223</v>
      </c>
      <c r="F552" t="inlineStr">
        <is>
          <t>GÄVLEBORGS LÄN</t>
        </is>
      </c>
      <c r="G552" t="inlineStr">
        <is>
          <t>GÄVLE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17974-2026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46124</v>
      </c>
      <c r="E553" s="1" t="n">
        <v>46223</v>
      </c>
      <c r="F553" t="inlineStr">
        <is>
          <t>GÄVLEBORGS LÄN</t>
        </is>
      </c>
      <c r="G553" t="inlineStr">
        <is>
          <t>GÄVLE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17975-2026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46124</v>
      </c>
      <c r="E554" s="1" t="n">
        <v>46223</v>
      </c>
      <c r="F554" t="inlineStr">
        <is>
          <t>GÄVLEBORGS LÄN</t>
        </is>
      </c>
      <c r="G554" t="inlineStr">
        <is>
          <t>GÄVLE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17976-2026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46223</v>
      </c>
      <c r="F555" t="inlineStr">
        <is>
          <t>GÄVLEBORGS LÄN</t>
        </is>
      </c>
      <c r="G555" t="inlineStr">
        <is>
          <t>GÄVLE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29016-2023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45104</v>
      </c>
      <c r="E556" s="1" t="n">
        <v>46223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17954-2026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46223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17863-2026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46223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17245-2024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45414</v>
      </c>
      <c r="E559" s="1" t="n">
        <v>46223</v>
      </c>
      <c r="F559" t="inlineStr">
        <is>
          <t>GÄVLEBORGS LÄN</t>
        </is>
      </c>
      <c r="G559" t="inlineStr">
        <is>
          <t>GÄVLE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17830-2026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46223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17113-2024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45412</v>
      </c>
      <c r="E561" s="1" t="n">
        <v>46223</v>
      </c>
      <c r="F561" t="inlineStr">
        <is>
          <t>GÄVLEBORGS LÄN</t>
        </is>
      </c>
      <c r="G561" t="inlineStr">
        <is>
          <t>GÄVLE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17977-2026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46124</v>
      </c>
      <c r="E562" s="1" t="n">
        <v>46223</v>
      </c>
      <c r="F562" t="inlineStr">
        <is>
          <t>GÄVLEBORGS LÄN</t>
        </is>
      </c>
      <c r="G562" t="inlineStr">
        <is>
          <t>GÄVLE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18175-2026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46223</v>
      </c>
      <c r="F563" t="inlineStr">
        <is>
          <t>GÄVLEBORGS LÄN</t>
        </is>
      </c>
      <c r="G563" t="inlineStr">
        <is>
          <t>GÄVLE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46223</v>
      </c>
      <c r="F564" t="inlineStr">
        <is>
          <t>GÄVLEBORGS LÄN</t>
        </is>
      </c>
      <c r="G564" t="inlineStr">
        <is>
          <t>GÄVLE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32353-2023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46223</v>
      </c>
      <c r="F565" t="inlineStr">
        <is>
          <t>GÄVLEBORGS LÄN</t>
        </is>
      </c>
      <c r="G565" t="inlineStr">
        <is>
          <t>GÄVLE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12228-2022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44637</v>
      </c>
      <c r="E566" s="1" t="n">
        <v>46223</v>
      </c>
      <c r="F566" t="inlineStr">
        <is>
          <t>GÄVLEBORGS LÄN</t>
        </is>
      </c>
      <c r="G566" t="inlineStr">
        <is>
          <t>GÄVLE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46223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15558-2026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46223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15568-2026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46223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10001-2025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45719</v>
      </c>
      <c r="E570" s="1" t="n">
        <v>46223</v>
      </c>
      <c r="F570" t="inlineStr">
        <is>
          <t>GÄVLEBORGS LÄN</t>
        </is>
      </c>
      <c r="G570" t="inlineStr">
        <is>
          <t>GÄVLE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46223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15634-2026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46223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36.3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13492-2026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46223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14966-2026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46223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19088-2026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46223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15635-2026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46223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18657-2026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46223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18660-2026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46128</v>
      </c>
      <c r="E578" s="1" t="n">
        <v>46223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46223</v>
      </c>
      <c r="F579" t="inlineStr">
        <is>
          <t>GÄVLEBORGS LÄN</t>
        </is>
      </c>
      <c r="G579" t="inlineStr">
        <is>
          <t>GÄVLE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19164-2026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46223</v>
      </c>
      <c r="F580" t="inlineStr">
        <is>
          <t>GÄVLEBORGS LÄN</t>
        </is>
      </c>
      <c r="G580" t="inlineStr">
        <is>
          <t>GÄVLE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18659-2026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46223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46223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19085-2026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46223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46223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42934-2023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46223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19087-2026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46223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19185-2026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46223</v>
      </c>
      <c r="F587" t="inlineStr">
        <is>
          <t>GÄVLEBORGS LÄN</t>
        </is>
      </c>
      <c r="G587" t="inlineStr">
        <is>
          <t>GÄVLE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44585</v>
      </c>
      <c r="E588" s="1" t="n">
        <v>46223</v>
      </c>
      <c r="F588" t="inlineStr">
        <is>
          <t>GÄVLEBORGS LÄN</t>
        </is>
      </c>
      <c r="G588" t="inlineStr">
        <is>
          <t>GÄVLE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35440-2023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45146</v>
      </c>
      <c r="E589" s="1" t="n">
        <v>46223</v>
      </c>
      <c r="F589" t="inlineStr">
        <is>
          <t>GÄVLEBORGS LÄN</t>
        </is>
      </c>
      <c r="G589" t="inlineStr">
        <is>
          <t>GÄVLE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31866-2023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46223</v>
      </c>
      <c r="F590" t="inlineStr">
        <is>
          <t>GÄVLEBORGS LÄN</t>
        </is>
      </c>
      <c r="G590" t="inlineStr">
        <is>
          <t>GÄVLE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19372-2026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46133</v>
      </c>
      <c r="E591" s="1" t="n">
        <v>46223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15176-2026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46223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19370-2026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46223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19371-2026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46223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33901-2024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46223</v>
      </c>
      <c r="F595" t="inlineStr">
        <is>
          <t>GÄVLEBORGS LÄN</t>
        </is>
      </c>
      <c r="G595" t="inlineStr">
        <is>
          <t>GÄVLE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45660</v>
      </c>
      <c r="E596" s="1" t="n">
        <v>46223</v>
      </c>
      <c r="F596" t="inlineStr">
        <is>
          <t>GÄVLEBORGS LÄN</t>
        </is>
      </c>
      <c r="G596" t="inlineStr">
        <is>
          <t>GÄVLE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14365-2026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46223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19714-2026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46223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19715-2026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46223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46223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19712-2026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46223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19711-2026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46223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14355-2026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46100</v>
      </c>
      <c r="E603" s="1" t="n">
        <v>46223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60792-2024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45644</v>
      </c>
      <c r="E604" s="1" t="n">
        <v>46223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44000-2025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45915</v>
      </c>
      <c r="E605" s="1" t="n">
        <v>46223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19713-2026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46223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19716-2026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46223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12386-2026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46223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28905-2023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46223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15689-2026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46223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46223</v>
      </c>
      <c r="F611" t="inlineStr">
        <is>
          <t>GÄVLEBORGS LÄN</t>
        </is>
      </c>
      <c r="G611" t="inlineStr">
        <is>
          <t>GÄVLE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36512-2025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45869</v>
      </c>
      <c r="E612" s="1" t="n">
        <v>46223</v>
      </c>
      <c r="F612" t="inlineStr">
        <is>
          <t>GÄVLEBORGS LÄN</t>
        </is>
      </c>
      <c r="G612" t="inlineStr">
        <is>
          <t>GÄVLE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35916-2025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45862</v>
      </c>
      <c r="E613" s="1" t="n">
        <v>46223</v>
      </c>
      <c r="F613" t="inlineStr">
        <is>
          <t>GÄVLEBORGS LÄN</t>
        </is>
      </c>
      <c r="G613" t="inlineStr">
        <is>
          <t>GÄVLE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9378-2025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45715</v>
      </c>
      <c r="E614" s="1" t="n">
        <v>46223</v>
      </c>
      <c r="F614" t="inlineStr">
        <is>
          <t>GÄVLEBORGS LÄN</t>
        </is>
      </c>
      <c r="G614" t="inlineStr">
        <is>
          <t>GÄVLE</t>
        </is>
      </c>
      <c r="H614" t="inlineStr">
        <is>
          <t>Kyrkan</t>
        </is>
      </c>
      <c r="I614" t="n">
        <v>8.1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6331-2022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44600</v>
      </c>
      <c r="E615" s="1" t="n">
        <v>46223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10487-2026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46077</v>
      </c>
      <c r="E616" s="1" t="n">
        <v>46223</v>
      </c>
      <c r="F616" t="inlineStr">
        <is>
          <t>GÄVLEBORGS LÄN</t>
        </is>
      </c>
      <c r="G616" t="inlineStr">
        <is>
          <t>GÄVLE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61004-2024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46223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30662-2022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44763</v>
      </c>
      <c r="E618" s="1" t="n">
        <v>46223</v>
      </c>
      <c r="F618" t="inlineStr">
        <is>
          <t>GÄVLEBORGS LÄN</t>
        </is>
      </c>
      <c r="G618" t="inlineStr">
        <is>
          <t>GÄVLE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15536-2026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46223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15647-2026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46223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16076-2026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46223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18217-2024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45420</v>
      </c>
      <c r="E622" s="1" t="n">
        <v>46223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15101-2025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45744</v>
      </c>
      <c r="E623" s="1" t="n">
        <v>46223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15801-2026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46223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20589-2026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46223</v>
      </c>
      <c r="F625" t="inlineStr">
        <is>
          <t>GÄVLEBORGS LÄN</t>
        </is>
      </c>
      <c r="G625" t="inlineStr">
        <is>
          <t>GÄVLE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20682-2023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45058</v>
      </c>
      <c r="E626" s="1" t="n">
        <v>46223</v>
      </c>
      <c r="F626" t="inlineStr">
        <is>
          <t>GÄVLEBORGS LÄN</t>
        </is>
      </c>
      <c r="G626" t="inlineStr">
        <is>
          <t>GÄVLE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8693-2024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46223</v>
      </c>
      <c r="F627" t="inlineStr">
        <is>
          <t>GÄVLEBORGS LÄN</t>
        </is>
      </c>
      <c r="G627" t="inlineStr">
        <is>
          <t>GÄVLE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44586</v>
      </c>
      <c r="E628" s="1" t="n">
        <v>46223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26094-2025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46223</v>
      </c>
      <c r="F629" t="inlineStr">
        <is>
          <t>GÄVLEBORGS LÄN</t>
        </is>
      </c>
      <c r="G629" t="inlineStr">
        <is>
          <t>GÄVLE</t>
        </is>
      </c>
      <c r="I629" t="n">
        <v>12.4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15275-2026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46223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15324-2026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46223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15799-2026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46223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46223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46223</v>
      </c>
      <c r="F634" t="inlineStr">
        <is>
          <t>GÄVLEBORGS LÄN</t>
        </is>
      </c>
      <c r="G634" t="inlineStr">
        <is>
          <t>GÄVLE</t>
        </is>
      </c>
      <c r="I634" t="n">
        <v>12.7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61501-2024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45646</v>
      </c>
      <c r="E635" s="1" t="n">
        <v>46223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13193-2025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45735</v>
      </c>
      <c r="E636" s="1" t="n">
        <v>46223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4402-2025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45686</v>
      </c>
      <c r="E637" s="1" t="n">
        <v>46223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7441-2025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45705</v>
      </c>
      <c r="E638" s="1" t="n">
        <v>46223</v>
      </c>
      <c r="F638" t="inlineStr">
        <is>
          <t>GÄVLEBORGS LÄN</t>
        </is>
      </c>
      <c r="G638" t="inlineStr">
        <is>
          <t>GÄVLE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21966-2025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45784</v>
      </c>
      <c r="E639" s="1" t="n">
        <v>46223</v>
      </c>
      <c r="F639" t="inlineStr">
        <is>
          <t>GÄVLEBORGS LÄN</t>
        </is>
      </c>
      <c r="G639" t="inlineStr">
        <is>
          <t>GÄVLE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26016-2026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46223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38793-2024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45547</v>
      </c>
      <c r="E641" s="1" t="n">
        <v>46223</v>
      </c>
      <c r="F641" t="inlineStr">
        <is>
          <t>GÄVLEBORGS LÄN</t>
        </is>
      </c>
      <c r="G641" t="inlineStr">
        <is>
          <t>GÄVLE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9331-2026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46070</v>
      </c>
      <c r="E642" s="1" t="n">
        <v>46223</v>
      </c>
      <c r="F642" t="inlineStr">
        <is>
          <t>GÄVLEBORGS LÄN</t>
        </is>
      </c>
      <c r="G642" t="inlineStr">
        <is>
          <t>GÄVLE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28375-2025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46223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10521-2026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46223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2373-2025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45673</v>
      </c>
      <c r="E645" s="1" t="n">
        <v>46223</v>
      </c>
      <c r="F645" t="inlineStr">
        <is>
          <t>GÄVLEBORGS LÄN</t>
        </is>
      </c>
      <c r="G645" t="inlineStr">
        <is>
          <t>GÄVLE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45673</v>
      </c>
      <c r="E646" s="1" t="n">
        <v>46223</v>
      </c>
      <c r="F646" t="inlineStr">
        <is>
          <t>GÄVLEBORGS LÄN</t>
        </is>
      </c>
      <c r="G646" t="inlineStr">
        <is>
          <t>GÄVLE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46029</v>
      </c>
      <c r="E647" s="1" t="n">
        <v>46223</v>
      </c>
      <c r="F647" t="inlineStr">
        <is>
          <t>GÄVLEBORGS LÄN</t>
        </is>
      </c>
      <c r="G647" t="inlineStr">
        <is>
          <t>GÄVLE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50537-2025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45945</v>
      </c>
      <c r="E648" s="1" t="n">
        <v>46223</v>
      </c>
      <c r="F648" t="inlineStr">
        <is>
          <t>GÄVLEBORGS LÄN</t>
        </is>
      </c>
      <c r="G648" t="inlineStr">
        <is>
          <t>GÄVLE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18162-2022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44684</v>
      </c>
      <c r="E649" s="1" t="n">
        <v>46223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12079-2025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46223</v>
      </c>
      <c r="F650" t="inlineStr">
        <is>
          <t>GÄVLEBORGS LÄN</t>
        </is>
      </c>
      <c r="G650" t="inlineStr">
        <is>
          <t>GÄVLE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24618-2023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46223</v>
      </c>
      <c r="F651" t="inlineStr">
        <is>
          <t>GÄVLEBORGS LÄN</t>
        </is>
      </c>
      <c r="G651" t="inlineStr">
        <is>
          <t>GÄVLE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7410-2025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45705</v>
      </c>
      <c r="E652" s="1" t="n">
        <v>46223</v>
      </c>
      <c r="F652" t="inlineStr">
        <is>
          <t>GÄVLEBORGS LÄN</t>
        </is>
      </c>
      <c r="G652" t="inlineStr">
        <is>
          <t>GÄVLE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25814-2023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46223</v>
      </c>
      <c r="F653" t="inlineStr">
        <is>
          <t>GÄVLEBORGS LÄN</t>
        </is>
      </c>
      <c r="G653" t="inlineStr">
        <is>
          <t>GÄVLE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15092-2026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46223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1066-2025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45666</v>
      </c>
      <c r="E655" s="1" t="n">
        <v>46223</v>
      </c>
      <c r="F655" t="inlineStr">
        <is>
          <t>GÄVLEBORGS LÄN</t>
        </is>
      </c>
      <c r="G655" t="inlineStr">
        <is>
          <t>GÄVLE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42592-2025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46223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18168-2022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44684</v>
      </c>
      <c r="E657" s="1" t="n">
        <v>46223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51071-2023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45218</v>
      </c>
      <c r="E658" s="1" t="n">
        <v>46223</v>
      </c>
      <c r="F658" t="inlineStr">
        <is>
          <t>GÄVLEBORGS LÄN</t>
        </is>
      </c>
      <c r="G658" t="inlineStr">
        <is>
          <t>GÄVLE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3639-2022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44586</v>
      </c>
      <c r="E659" s="1" t="n">
        <v>46223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45666</v>
      </c>
      <c r="E660" s="1" t="n">
        <v>46223</v>
      </c>
      <c r="F660" t="inlineStr">
        <is>
          <t>GÄVLEBORGS LÄN</t>
        </is>
      </c>
      <c r="G660" t="inlineStr">
        <is>
          <t>GÄVLE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15105-2025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45744</v>
      </c>
      <c r="E661" s="1" t="n">
        <v>46223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1328-2026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46223</v>
      </c>
      <c r="F662" t="inlineStr">
        <is>
          <t>GÄVLEBORGS LÄN</t>
        </is>
      </c>
      <c r="G662" t="inlineStr">
        <is>
          <t>GÄVLE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46033</v>
      </c>
      <c r="E663" s="1" t="n">
        <v>46223</v>
      </c>
      <c r="F663" t="inlineStr">
        <is>
          <t>GÄVLEBORGS LÄN</t>
        </is>
      </c>
      <c r="G663" t="inlineStr">
        <is>
          <t>GÄVLE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46223</v>
      </c>
      <c r="F664" t="inlineStr">
        <is>
          <t>GÄVLEBORGS LÄN</t>
        </is>
      </c>
      <c r="G664" t="inlineStr">
        <is>
          <t>GÄVLE</t>
        </is>
      </c>
      <c r="I664" t="n">
        <v>9.5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46184</v>
      </c>
      <c r="E665" s="1" t="n">
        <v>46223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57168-2023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46223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20685-2026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46141</v>
      </c>
      <c r="E667" s="1" t="n">
        <v>46223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33880-2022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46223</v>
      </c>
      <c r="F668" t="inlineStr">
        <is>
          <t>GÄVLEBORGS LÄN</t>
        </is>
      </c>
      <c r="G668" t="inlineStr">
        <is>
          <t>GÄVLE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26600-2026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46223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20736-2026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46223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46223</v>
      </c>
      <c r="F671" t="inlineStr">
        <is>
          <t>GÄVLEBORGS LÄN</t>
        </is>
      </c>
      <c r="G671" t="inlineStr">
        <is>
          <t>GÄVLE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16190-2026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46223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16263-2026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46223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26249-2022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44735</v>
      </c>
      <c r="E674" s="1" t="n">
        <v>46223</v>
      </c>
      <c r="F674" t="inlineStr">
        <is>
          <t>GÄVLEBORGS LÄN</t>
        </is>
      </c>
      <c r="G674" t="inlineStr">
        <is>
          <t>GÄVLE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20785-2026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46223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20999-2022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44701</v>
      </c>
      <c r="E676" s="1" t="n">
        <v>46223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20905-2026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46142</v>
      </c>
      <c r="E677" s="1" t="n">
        <v>46223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26599-2026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46223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20735-2026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46223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20906-2026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46142</v>
      </c>
      <c r="E680" s="1" t="n">
        <v>46223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27182-2022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44741</v>
      </c>
      <c r="E681" s="1" t="n">
        <v>46223</v>
      </c>
      <c r="F681" t="inlineStr">
        <is>
          <t>GÄVLEBORGS LÄN</t>
        </is>
      </c>
      <c r="G681" t="inlineStr">
        <is>
          <t>GÄVLE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35761-2022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44800</v>
      </c>
      <c r="E682" s="1" t="n">
        <v>46223</v>
      </c>
      <c r="F682" t="inlineStr">
        <is>
          <t>GÄVLEBORGS LÄN</t>
        </is>
      </c>
      <c r="G682" t="inlineStr">
        <is>
          <t>GÄVLE</t>
        </is>
      </c>
      <c r="I682" t="n">
        <v>8.199999999999999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27360-2026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46223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15456-2026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46223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27048-2026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46223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27042-2026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46223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27056-2026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46223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27066-2026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46223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46223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27361-2026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46188</v>
      </c>
      <c r="E690" s="1" t="n">
        <v>46223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27359-2026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46223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27052-2026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46223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59322-2022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46223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27041-2026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46223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27046-2026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46223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27051-2026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46223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27059-2026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46223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27061-2026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46223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27068-2026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46223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46223</v>
      </c>
      <c r="F701" t="inlineStr">
        <is>
          <t>GÄVLEBORGS LÄN</t>
        </is>
      </c>
      <c r="G701" t="inlineStr">
        <is>
          <t>GÄVLE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27040-2026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46223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26991-2026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46223</v>
      </c>
      <c r="F703" t="inlineStr">
        <is>
          <t>GÄVLEBORGS LÄN</t>
        </is>
      </c>
      <c r="G703" t="inlineStr">
        <is>
          <t>GÄVLE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27067-2026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46223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27057-2026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46223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27069-2026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46223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27053-2026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27060-2026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27065-2026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46223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46223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26942-2026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46223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21033-2026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46223</v>
      </c>
      <c r="F712" t="inlineStr">
        <is>
          <t>GÄVLEBORGS LÄN</t>
        </is>
      </c>
      <c r="G712" t="inlineStr">
        <is>
          <t>GÄVLE</t>
        </is>
      </c>
      <c r="H712" t="inlineStr">
        <is>
          <t>Kyrkan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30875-2022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44767</v>
      </c>
      <c r="E713" s="1" t="n">
        <v>46223</v>
      </c>
      <c r="F713" t="inlineStr">
        <is>
          <t>GÄVLEBORGS LÄN</t>
        </is>
      </c>
      <c r="G713" t="inlineStr">
        <is>
          <t>GÄVLE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9426-2025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45715</v>
      </c>
      <c r="E714" s="1" t="n">
        <v>46223</v>
      </c>
      <c r="F714" t="inlineStr">
        <is>
          <t>GÄVLEBORGS LÄN</t>
        </is>
      </c>
      <c r="G714" t="inlineStr">
        <is>
          <t>GÄVLE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16144-2026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46223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21364-2026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46223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14707-2026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46223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60885-2023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45261</v>
      </c>
      <c r="E718" s="1" t="n">
        <v>46223</v>
      </c>
      <c r="F718" t="inlineStr">
        <is>
          <t>GÄVLEBORGS LÄN</t>
        </is>
      </c>
      <c r="G718" t="inlineStr">
        <is>
          <t>GÄVLE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2457-2024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45312</v>
      </c>
      <c r="E719" s="1" t="n">
        <v>46223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16401-2025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45751</v>
      </c>
      <c r="E720" s="1" t="n">
        <v>46223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64868-2023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45282</v>
      </c>
      <c r="E721" s="1" t="n">
        <v>46223</v>
      </c>
      <c r="F721" t="inlineStr">
        <is>
          <t>GÄVLEBORGS LÄN</t>
        </is>
      </c>
      <c r="G721" t="inlineStr">
        <is>
          <t>GÄVLE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64873-2023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45282</v>
      </c>
      <c r="E722" s="1" t="n">
        <v>46223</v>
      </c>
      <c r="F722" t="inlineStr">
        <is>
          <t>GÄVLEBORGS LÄN</t>
        </is>
      </c>
      <c r="G722" t="inlineStr">
        <is>
          <t>GÄVLE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14666-2026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46101</v>
      </c>
      <c r="E723" s="1" t="n">
        <v>46223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22342-2026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46154</v>
      </c>
      <c r="E724" s="1" t="n">
        <v>46223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28334-2026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46223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28331-2026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46223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13961-2024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46223</v>
      </c>
      <c r="F727" t="inlineStr">
        <is>
          <t>GÄVLEBORGS LÄN</t>
        </is>
      </c>
      <c r="G727" t="inlineStr">
        <is>
          <t>GÄVLE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15444-2024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45401</v>
      </c>
      <c r="E728" s="1" t="n">
        <v>46223</v>
      </c>
      <c r="F728" t="inlineStr">
        <is>
          <t>GÄVLEBORGS LÄN</t>
        </is>
      </c>
      <c r="G728" t="inlineStr">
        <is>
          <t>GÄVLE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34668-2024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45526</v>
      </c>
      <c r="E729" s="1" t="n">
        <v>46223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61301-2024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45645</v>
      </c>
      <c r="E730" s="1" t="n">
        <v>46223</v>
      </c>
      <c r="F730" t="inlineStr">
        <is>
          <t>GÄVLEBORGS LÄN</t>
        </is>
      </c>
      <c r="G730" t="inlineStr">
        <is>
          <t>GÄVLE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22356-2026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46154</v>
      </c>
      <c r="E731" s="1" t="n">
        <v>46223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28332-2026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46223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28140-2026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46223</v>
      </c>
      <c r="F733" t="inlineStr">
        <is>
          <t>GÄVLEBORGS LÄN</t>
        </is>
      </c>
      <c r="G733" t="inlineStr">
        <is>
          <t>GÄVLE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44806-2024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45574</v>
      </c>
      <c r="E734" s="1" t="n">
        <v>46223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22053-2026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46153</v>
      </c>
      <c r="E735" s="1" t="n">
        <v>46223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46153</v>
      </c>
      <c r="E736" s="1" t="n">
        <v>46223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47458-2022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44853</v>
      </c>
      <c r="E737" s="1" t="n">
        <v>46223</v>
      </c>
      <c r="F737" t="inlineStr">
        <is>
          <t>GÄVLEBORGS LÄN</t>
        </is>
      </c>
      <c r="G737" t="inlineStr">
        <is>
          <t>GÄVLE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22111-2026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46223</v>
      </c>
      <c r="F738" t="inlineStr">
        <is>
          <t>GÄVLEBORGS LÄN</t>
        </is>
      </c>
      <c r="G738" t="inlineStr">
        <is>
          <t>GÄVLE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28379-2026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46223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33635-2024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45520</v>
      </c>
      <c r="E740" s="1" t="n">
        <v>46223</v>
      </c>
      <c r="F740" t="inlineStr">
        <is>
          <t>GÄVLEBORGS LÄN</t>
        </is>
      </c>
      <c r="G740" t="inlineStr">
        <is>
          <t>GÄVLE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33637-2024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45520</v>
      </c>
      <c r="E741" s="1" t="n">
        <v>46223</v>
      </c>
      <c r="F741" t="inlineStr">
        <is>
          <t>GÄVLEBORGS LÄN</t>
        </is>
      </c>
      <c r="G741" t="inlineStr">
        <is>
          <t>GÄVLE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22121-2026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46153</v>
      </c>
      <c r="E742" s="1" t="n">
        <v>46223</v>
      </c>
      <c r="F742" t="inlineStr">
        <is>
          <t>GÄVLEBORGS LÄN</t>
        </is>
      </c>
      <c r="G742" t="inlineStr">
        <is>
          <t>GÄVLE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22054-2026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46153</v>
      </c>
      <c r="E743" s="1" t="n">
        <v>46223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8.5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11410-2025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45726</v>
      </c>
      <c r="E744" s="1" t="n">
        <v>46223</v>
      </c>
      <c r="F744" t="inlineStr">
        <is>
          <t>GÄVLEBORGS LÄN</t>
        </is>
      </c>
      <c r="G744" t="inlineStr">
        <is>
          <t>GÄVLE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61492-2024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46223</v>
      </c>
      <c r="F745" t="inlineStr">
        <is>
          <t>GÄVLEBORGS LÄN</t>
        </is>
      </c>
      <c r="G745" t="inlineStr">
        <is>
          <t>GÄVLE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22354-2026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46223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22358-2026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46223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22361-2026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46223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22363-2026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46223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28659-2026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46223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53138-2024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45611</v>
      </c>
      <c r="E751" s="1" t="n">
        <v>46223</v>
      </c>
      <c r="F751" t="inlineStr">
        <is>
          <t>GÄVLEBORGS LÄN</t>
        </is>
      </c>
      <c r="G751" t="inlineStr">
        <is>
          <t>GÄVLE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28485-2026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46197</v>
      </c>
      <c r="E752" s="1" t="n">
        <v>46223</v>
      </c>
      <c r="F752" t="inlineStr">
        <is>
          <t>GÄVLEBORGS LÄN</t>
        </is>
      </c>
      <c r="G752" t="inlineStr">
        <is>
          <t>GÄVLE</t>
        </is>
      </c>
      <c r="H752" t="inlineStr">
        <is>
          <t>BillerudKorsnäs AB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28654-2026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46223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28655-2026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46223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28657-2026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46223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28658-2026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46223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66493-2021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44519</v>
      </c>
      <c r="E757" s="1" t="n">
        <v>46223</v>
      </c>
      <c r="F757" t="inlineStr">
        <is>
          <t>GÄVLEBORGS LÄN</t>
        </is>
      </c>
      <c r="G757" t="inlineStr">
        <is>
          <t>GÄVLE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7060-2022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44603</v>
      </c>
      <c r="E758" s="1" t="n">
        <v>46223</v>
      </c>
      <c r="F758" t="inlineStr">
        <is>
          <t>GÄVLEBORGS LÄN</t>
        </is>
      </c>
      <c r="G758" t="inlineStr">
        <is>
          <t>GÄVLE</t>
        </is>
      </c>
      <c r="I758" t="n">
        <v>10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7998-2023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46223</v>
      </c>
      <c r="F759" t="inlineStr">
        <is>
          <t>GÄVLEBORGS LÄN</t>
        </is>
      </c>
      <c r="G759" t="inlineStr">
        <is>
          <t>GÄVLE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22570-2026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46223</v>
      </c>
      <c r="F760" t="inlineStr">
        <is>
          <t>GÄVLEBORGS LÄN</t>
        </is>
      </c>
      <c r="G760" t="inlineStr">
        <is>
          <t>GÄVLE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22584-2026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46155</v>
      </c>
      <c r="E761" s="1" t="n">
        <v>46223</v>
      </c>
      <c r="F761" t="inlineStr">
        <is>
          <t>GÄVLEBORGS LÄN</t>
        </is>
      </c>
      <c r="G761" t="inlineStr">
        <is>
          <t>GÄVLE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17300-2026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46223</v>
      </c>
      <c r="F762" t="inlineStr">
        <is>
          <t>GÄVLEBORGS LÄN</t>
        </is>
      </c>
      <c r="G762" t="inlineStr">
        <is>
          <t>GÄVLE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15152-2026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46223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28656-2026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46223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22545-2026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46223</v>
      </c>
      <c r="F765" t="inlineStr">
        <is>
          <t>GÄVLEBORGS LÄN</t>
        </is>
      </c>
      <c r="G765" t="inlineStr">
        <is>
          <t>GÄVLE</t>
        </is>
      </c>
      <c r="H765" t="inlineStr">
        <is>
          <t>Kyrkan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15158-2026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46223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5408-2023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46223</v>
      </c>
      <c r="F767" t="inlineStr">
        <is>
          <t>GÄVLEBORGS LÄN</t>
        </is>
      </c>
      <c r="G767" t="inlineStr">
        <is>
          <t>GÄVLE</t>
        </is>
      </c>
      <c r="I767" t="n">
        <v>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60442-2022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44911</v>
      </c>
      <c r="E768" s="1" t="n">
        <v>46223</v>
      </c>
      <c r="F768" t="inlineStr">
        <is>
          <t>GÄVLEBORGS LÄN</t>
        </is>
      </c>
      <c r="G768" t="inlineStr">
        <is>
          <t>GÄVLE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26334-2022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44735</v>
      </c>
      <c r="E769" s="1" t="n">
        <v>46223</v>
      </c>
      <c r="F769" t="inlineStr">
        <is>
          <t>GÄVLEBORGS LÄN</t>
        </is>
      </c>
      <c r="G769" t="inlineStr">
        <is>
          <t>GÄVLE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5462-2023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44960</v>
      </c>
      <c r="E770" s="1" t="n">
        <v>46223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22517-2026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46223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29333-2026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46202</v>
      </c>
      <c r="E772" s="1" t="n">
        <v>46223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29142-2026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46202</v>
      </c>
      <c r="E773" s="1" t="n">
        <v>46223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22508-2026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46223</v>
      </c>
      <c r="F774" t="inlineStr">
        <is>
          <t>GÄVLEBORGS LÄN</t>
        </is>
      </c>
      <c r="G774" t="inlineStr">
        <is>
          <t>GÄVLE</t>
        </is>
      </c>
      <c r="H774" t="inlineStr">
        <is>
          <t>Kyrkan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15167-2026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46105</v>
      </c>
      <c r="E775" s="1" t="n">
        <v>46223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15711-2026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46223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19424-2022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44693</v>
      </c>
      <c r="E777" s="1" t="n">
        <v>46223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15469-2026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46223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15790-2026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46223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22848-2026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46160</v>
      </c>
      <c r="E780" s="1" t="n">
        <v>46223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22844-2026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46223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37534-2023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45158</v>
      </c>
      <c r="E782" s="1" t="n">
        <v>46223</v>
      </c>
      <c r="F782" t="inlineStr">
        <is>
          <t>GÄVLEBORGS LÄN</t>
        </is>
      </c>
      <c r="G782" t="inlineStr">
        <is>
          <t>GÄVLE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37538-2023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45158</v>
      </c>
      <c r="E783" s="1" t="n">
        <v>46223</v>
      </c>
      <c r="F783" t="inlineStr">
        <is>
          <t>GÄVLEBORGS LÄN</t>
        </is>
      </c>
      <c r="G783" t="inlineStr">
        <is>
          <t>GÄVLE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14750-2022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44656</v>
      </c>
      <c r="E784" s="1" t="n">
        <v>46223</v>
      </c>
      <c r="F784" t="inlineStr">
        <is>
          <t>GÄVLEBORGS LÄN</t>
        </is>
      </c>
      <c r="G784" t="inlineStr">
        <is>
          <t>GÄVLE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23117-2026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46161</v>
      </c>
      <c r="E785" s="1" t="n">
        <v>46223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53432-2021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44468</v>
      </c>
      <c r="E786" s="1" t="n">
        <v>46223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14735-2024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46223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29364-2026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46203</v>
      </c>
      <c r="E788" s="1" t="n">
        <v>46223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19712-2022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44694</v>
      </c>
      <c r="E789" s="1" t="n">
        <v>46223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14173-2022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44651</v>
      </c>
      <c r="E790" s="1" t="n">
        <v>46223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46223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9307-2022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44616</v>
      </c>
      <c r="E792" s="1" t="n">
        <v>46223</v>
      </c>
      <c r="F792" t="inlineStr">
        <is>
          <t>GÄVLEBORGS LÄN</t>
        </is>
      </c>
      <c r="G792" t="inlineStr">
        <is>
          <t>GÄVLE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2461-2024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45312</v>
      </c>
      <c r="E793" s="1" t="n">
        <v>46223</v>
      </c>
      <c r="F793" t="inlineStr">
        <is>
          <t>GÄVLEBORGS LÄN</t>
        </is>
      </c>
      <c r="G793" t="inlineStr">
        <is>
          <t>GÄVLE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5728-2023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44962</v>
      </c>
      <c r="E794" s="1" t="n">
        <v>46223</v>
      </c>
      <c r="F794" t="inlineStr">
        <is>
          <t>GÄVLEBORGS LÄN</t>
        </is>
      </c>
      <c r="G794" t="inlineStr">
        <is>
          <t>GÄVLE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29506-2026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46223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52.7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14974-2026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46223</v>
      </c>
      <c r="F796" t="inlineStr">
        <is>
          <t>GÄVLEBORGS LÄN</t>
        </is>
      </c>
      <c r="G796" t="inlineStr">
        <is>
          <t>GÄVLE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15765-2026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46223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18361-2024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45422</v>
      </c>
      <c r="E798" s="1" t="n">
        <v>46223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22968-2026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46160</v>
      </c>
      <c r="E799" s="1" t="n">
        <v>46223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44927</v>
      </c>
      <c r="E800" s="1" t="n">
        <v>46223</v>
      </c>
      <c r="F800" t="inlineStr">
        <is>
          <t>GÄVLEBORGS LÄN</t>
        </is>
      </c>
      <c r="G800" t="inlineStr">
        <is>
          <t>GÄVLE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33015-2023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45125</v>
      </c>
      <c r="E801" s="1" t="n">
        <v>46223</v>
      </c>
      <c r="F801" t="inlineStr">
        <is>
          <t>GÄVLEBORGS LÄN</t>
        </is>
      </c>
      <c r="G801" t="inlineStr">
        <is>
          <t>GÄVLE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64878-2023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45282</v>
      </c>
      <c r="E802" s="1" t="n">
        <v>46223</v>
      </c>
      <c r="F802" t="inlineStr">
        <is>
          <t>GÄVLEBORGS LÄN</t>
        </is>
      </c>
      <c r="G802" t="inlineStr">
        <is>
          <t>GÄVLE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26281-2026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46182</v>
      </c>
      <c r="E803" s="1" t="n">
        <v>46223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9235-2022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44616</v>
      </c>
      <c r="E804" s="1" t="n">
        <v>46223</v>
      </c>
      <c r="F804" t="inlineStr">
        <is>
          <t>GÄVLEBORGS LÄN</t>
        </is>
      </c>
      <c r="G804" t="inlineStr">
        <is>
          <t>GÄVLE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35445-2023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45146</v>
      </c>
      <c r="E805" s="1" t="n">
        <v>46223</v>
      </c>
      <c r="F805" t="inlineStr">
        <is>
          <t>GÄVLEBORGS LÄN</t>
        </is>
      </c>
      <c r="G805" t="inlineStr">
        <is>
          <t>GÄVLE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52495-2021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44466</v>
      </c>
      <c r="E806" s="1" t="n">
        <v>46223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17088-2023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45034</v>
      </c>
      <c r="E807" s="1" t="n">
        <v>46223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23591-2026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46163</v>
      </c>
      <c r="E808" s="1" t="n">
        <v>46223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32255-2023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45120</v>
      </c>
      <c r="E809" s="1" t="n">
        <v>46223</v>
      </c>
      <c r="F809" t="inlineStr">
        <is>
          <t>GÄVLEBORGS LÄN</t>
        </is>
      </c>
      <c r="G809" t="inlineStr">
        <is>
          <t>GÄVLE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46223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2247-2023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46223</v>
      </c>
      <c r="F811" t="inlineStr">
        <is>
          <t>GÄVLEBORGS LÄN</t>
        </is>
      </c>
      <c r="G811" t="inlineStr">
        <is>
          <t>GÄVLE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24099-2026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46223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23956-2026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46167</v>
      </c>
      <c r="E813" s="1" t="n">
        <v>46223</v>
      </c>
      <c r="F813" t="inlineStr">
        <is>
          <t>GÄVLEBORGS LÄN</t>
        </is>
      </c>
      <c r="G813" t="inlineStr">
        <is>
          <t>GÄVLE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24090-2026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46223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24172-2026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46223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30324-2026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46207</v>
      </c>
      <c r="E816" s="1" t="n">
        <v>46223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38558-2023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46223</v>
      </c>
      <c r="F817" t="inlineStr">
        <is>
          <t>GÄVLEBORGS LÄN</t>
        </is>
      </c>
      <c r="G817" t="inlineStr">
        <is>
          <t>GÄVLE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24089-2026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46168</v>
      </c>
      <c r="E818" s="1" t="n">
        <v>46223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30600-2026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46210</v>
      </c>
      <c r="E819" s="1" t="n">
        <v>46223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52250-2024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45608</v>
      </c>
      <c r="E820" s="1" t="n">
        <v>46223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24398-2026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46169</v>
      </c>
      <c r="E821" s="1" t="n">
        <v>46223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24400-2026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46169</v>
      </c>
      <c r="E822" s="1" t="n">
        <v>46223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7748-2025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46223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44951</v>
      </c>
      <c r="E824" s="1" t="n">
        <v>46223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24295-2026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46223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24306-2026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46223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24325-2026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46169</v>
      </c>
      <c r="E827" s="1" t="n">
        <v>46223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26129-2024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45468</v>
      </c>
      <c r="E828" s="1" t="n">
        <v>46223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9.9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24373-2026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46169</v>
      </c>
      <c r="E829" s="1" t="n">
        <v>46223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5.5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24294-2026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46169</v>
      </c>
      <c r="E830" s="1" t="n">
        <v>46223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24367-2026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46169</v>
      </c>
      <c r="E831" s="1" t="n">
        <v>46223</v>
      </c>
      <c r="F831" t="inlineStr">
        <is>
          <t>GÄVLEBORGS LÄN</t>
        </is>
      </c>
      <c r="G831" t="inlineStr">
        <is>
          <t>GÄVLE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41100-2024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45559</v>
      </c>
      <c r="E832" s="1" t="n">
        <v>46223</v>
      </c>
      <c r="F832" t="inlineStr">
        <is>
          <t>GÄVLEBORGS LÄN</t>
        </is>
      </c>
      <c r="G832" t="inlineStr">
        <is>
          <t>GÄVLE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30967-2026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46223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45278-2022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44840</v>
      </c>
      <c r="E834" s="1" t="n">
        <v>46223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24720-2023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45084</v>
      </c>
      <c r="E835" s="1" t="n">
        <v>46223</v>
      </c>
      <c r="F835" t="inlineStr">
        <is>
          <t>GÄVLEBORGS LÄN</t>
        </is>
      </c>
      <c r="G835" t="inlineStr">
        <is>
          <t>GÄVLE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71215-2021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44539</v>
      </c>
      <c r="E836" s="1" t="n">
        <v>46223</v>
      </c>
      <c r="F836" t="inlineStr">
        <is>
          <t>GÄVLEBORGS LÄN</t>
        </is>
      </c>
      <c r="G836" t="inlineStr">
        <is>
          <t>GÄVLE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30948-2026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46213</v>
      </c>
      <c r="E837" s="1" t="n">
        <v>46223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24669-2026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46171</v>
      </c>
      <c r="E838" s="1" t="n">
        <v>46223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21.4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31019-2026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46223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24810-2026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46173</v>
      </c>
      <c r="E840" s="1" t="n">
        <v>46223</v>
      </c>
      <c r="F840" t="inlineStr">
        <is>
          <t>GÄVLEBORGS LÄN</t>
        </is>
      </c>
      <c r="G840" t="inlineStr">
        <is>
          <t>GÄVLE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56138-2023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45240</v>
      </c>
      <c r="E841" s="1" t="n">
        <v>46223</v>
      </c>
      <c r="F841" t="inlineStr">
        <is>
          <t>GÄVLEBORGS LÄN</t>
        </is>
      </c>
      <c r="G841" t="inlineStr">
        <is>
          <t>GÄVLE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24456-2026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46170</v>
      </c>
      <c r="E842" s="1" t="n">
        <v>46223</v>
      </c>
      <c r="F842" t="inlineStr">
        <is>
          <t>GÄVLEBORGS LÄN</t>
        </is>
      </c>
      <c r="G842" t="inlineStr">
        <is>
          <t>GÄVLE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30969-2026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46213</v>
      </c>
      <c r="E843" s="1" t="n">
        <v>46223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25768-2022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44733</v>
      </c>
      <c r="E844" s="1" t="n">
        <v>46223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50582-2023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45217</v>
      </c>
      <c r="E845" s="1" t="n">
        <v>46223</v>
      </c>
      <c r="F845" t="inlineStr">
        <is>
          <t>GÄVLEBORGS LÄN</t>
        </is>
      </c>
      <c r="G845" t="inlineStr">
        <is>
          <t>GÄVLE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48834-2024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45593</v>
      </c>
      <c r="E846" s="1" t="n">
        <v>46223</v>
      </c>
      <c r="F846" t="inlineStr">
        <is>
          <t>GÄVLEBORGS LÄN</t>
        </is>
      </c>
      <c r="G846" t="inlineStr">
        <is>
          <t>GÄVLE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30951-2026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46223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58192-2024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45632</v>
      </c>
      <c r="E848" s="1" t="n">
        <v>46223</v>
      </c>
      <c r="F848" t="inlineStr">
        <is>
          <t>GÄVLEBORGS LÄN</t>
        </is>
      </c>
      <c r="G848" t="inlineStr">
        <is>
          <t>GÄVLE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42876-2023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45182</v>
      </c>
      <c r="E849" s="1" t="n">
        <v>46223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22.7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31234-2026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46217</v>
      </c>
      <c r="E850" s="1" t="n">
        <v>46223</v>
      </c>
      <c r="F850" t="inlineStr">
        <is>
          <t>GÄVLEBORGS LÄN</t>
        </is>
      </c>
      <c r="G850" t="inlineStr">
        <is>
          <t>GÄVLE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21365-2026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46147</v>
      </c>
      <c r="E851" s="1" t="n">
        <v>46223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25500-2026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46177</v>
      </c>
      <c r="E852" s="1" t="n">
        <v>46223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25582-2026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46223</v>
      </c>
      <c r="F853" t="inlineStr">
        <is>
          <t>GÄVLEBORGS LÄN</t>
        </is>
      </c>
      <c r="G853" t="inlineStr">
        <is>
          <t>GÄVLE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61786-2024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45649</v>
      </c>
      <c r="E854" s="1" t="n">
        <v>46223</v>
      </c>
      <c r="F854" t="inlineStr">
        <is>
          <t>GÄVLEBORGS LÄN</t>
        </is>
      </c>
      <c r="G854" t="inlineStr">
        <is>
          <t>GÄVLE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25513-2026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46177</v>
      </c>
      <c r="E855" s="1" t="n">
        <v>46223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25808-2026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46223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61300-2024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45645</v>
      </c>
      <c r="E857" s="1" t="n">
        <v>46223</v>
      </c>
      <c r="F857" t="inlineStr">
        <is>
          <t>GÄVLEBORGS LÄN</t>
        </is>
      </c>
      <c r="G857" t="inlineStr">
        <is>
          <t>GÄVLE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25623-2026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46223</v>
      </c>
      <c r="F858" t="inlineStr">
        <is>
          <t>GÄVLEBORGS LÄN</t>
        </is>
      </c>
      <c r="G858" t="inlineStr">
        <is>
          <t>GÄVLE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20676-2026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46223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21367-2026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46147</v>
      </c>
      <c r="E860" s="1" t="n">
        <v>46223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25367-2026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46176</v>
      </c>
      <c r="E861" s="1" t="n">
        <v>46223</v>
      </c>
      <c r="F861" t="inlineStr">
        <is>
          <t>GÄVLEBORGS LÄN</t>
        </is>
      </c>
      <c r="G861" t="inlineStr">
        <is>
          <t>GÄVLE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25384-2026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46223</v>
      </c>
      <c r="F862" t="inlineStr">
        <is>
          <t>GÄVLEBORGS LÄN</t>
        </is>
      </c>
      <c r="G862" t="inlineStr">
        <is>
          <t>GÄVLE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39509-2022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44818</v>
      </c>
      <c r="E863" s="1" t="n">
        <v>46223</v>
      </c>
      <c r="F863" t="inlineStr">
        <is>
          <t>GÄVLEBORGS LÄN</t>
        </is>
      </c>
      <c r="G863" t="inlineStr">
        <is>
          <t>GÄVLE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31445-2026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46217</v>
      </c>
      <c r="E864" s="1" t="n">
        <v>46223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40091-2023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45168</v>
      </c>
      <c r="E865" s="1" t="n">
        <v>46223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25829-2026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46178</v>
      </c>
      <c r="E866" s="1" t="n">
        <v>46223</v>
      </c>
      <c r="F866" t="inlineStr">
        <is>
          <t>GÄVLEBORGS LÄN</t>
        </is>
      </c>
      <c r="G866" t="inlineStr">
        <is>
          <t>GÄVLE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6370-2025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45699</v>
      </c>
      <c r="E867" s="1" t="n">
        <v>46223</v>
      </c>
      <c r="F867" t="inlineStr">
        <is>
          <t>GÄVLEBORGS LÄN</t>
        </is>
      </c>
      <c r="G867" t="inlineStr">
        <is>
          <t>GÄVLE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15935-2025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45749</v>
      </c>
      <c r="E868" s="1" t="n">
        <v>46223</v>
      </c>
      <c r="F868" t="inlineStr">
        <is>
          <t>GÄVLEBORGS LÄN</t>
        </is>
      </c>
      <c r="G868" t="inlineStr">
        <is>
          <t>GÄVLE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29929-2022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44756</v>
      </c>
      <c r="E869" s="1" t="n">
        <v>46223</v>
      </c>
      <c r="F869" t="inlineStr">
        <is>
          <t>GÄVLEBORGS LÄN</t>
        </is>
      </c>
      <c r="G869" t="inlineStr">
        <is>
          <t>GÄVLE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10352-2025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45720</v>
      </c>
      <c r="E870" s="1" t="n">
        <v>46223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58445-2021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44488</v>
      </c>
      <c r="E871" s="1" t="n">
        <v>46223</v>
      </c>
      <c r="F871" t="inlineStr">
        <is>
          <t>GÄVLEBORGS LÄN</t>
        </is>
      </c>
      <c r="G871" t="inlineStr">
        <is>
          <t>GÄVLE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35206-2024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45530</v>
      </c>
      <c r="E872" s="1" t="n">
        <v>46223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61918-2023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45266</v>
      </c>
      <c r="E873" s="1" t="n">
        <v>46223</v>
      </c>
      <c r="F873" t="inlineStr">
        <is>
          <t>GÄVLEBORGS LÄN</t>
        </is>
      </c>
      <c r="G873" t="inlineStr">
        <is>
          <t>GÄVLE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2458-2024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45312</v>
      </c>
      <c r="E874" s="1" t="n">
        <v>46223</v>
      </c>
      <c r="F874" t="inlineStr">
        <is>
          <t>GÄVLEBORGS LÄN</t>
        </is>
      </c>
      <c r="G874" t="inlineStr">
        <is>
          <t>GÄVLE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21300-2024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45440</v>
      </c>
      <c r="E875" s="1" t="n">
        <v>46223</v>
      </c>
      <c r="F875" t="inlineStr">
        <is>
          <t>GÄVLEBORGS LÄN</t>
        </is>
      </c>
      <c r="G875" t="inlineStr">
        <is>
          <t>GÄVLE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61843-2023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45266</v>
      </c>
      <c r="E876" s="1" t="n">
        <v>46223</v>
      </c>
      <c r="F876" t="inlineStr">
        <is>
          <t>GÄVLEBORGS LÄN</t>
        </is>
      </c>
      <c r="G876" t="inlineStr">
        <is>
          <t>GÄVLE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214-2025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45660</v>
      </c>
      <c r="E877" s="1" t="n">
        <v>46223</v>
      </c>
      <c r="F877" t="inlineStr">
        <is>
          <t>GÄVLEBORGS LÄN</t>
        </is>
      </c>
      <c r="G877" t="inlineStr">
        <is>
          <t>GÄVLE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49401-2024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45595</v>
      </c>
      <c r="E878" s="1" t="n">
        <v>46223</v>
      </c>
      <c r="F878" t="inlineStr">
        <is>
          <t>GÄVLEBORGS LÄN</t>
        </is>
      </c>
      <c r="G878" t="inlineStr">
        <is>
          <t>GÄVLE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45938-2024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45580</v>
      </c>
      <c r="E879" s="1" t="n">
        <v>46223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20621-2025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45776</v>
      </c>
      <c r="E880" s="1" t="n">
        <v>46223</v>
      </c>
      <c r="F880" t="inlineStr">
        <is>
          <t>GÄVLEBORGS LÄN</t>
        </is>
      </c>
      <c r="G880" t="inlineStr">
        <is>
          <t>GÄVLE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21431-2025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45782</v>
      </c>
      <c r="E881" s="1" t="n">
        <v>46223</v>
      </c>
      <c r="F881" t="inlineStr">
        <is>
          <t>GÄVLEBORGS LÄN</t>
        </is>
      </c>
      <c r="G881" t="inlineStr">
        <is>
          <t>GÄVLE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59044-2023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45252</v>
      </c>
      <c r="E882" s="1" t="n">
        <v>46223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7451-2025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45705</v>
      </c>
      <c r="E883" s="1" t="n">
        <v>46223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46223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3862-2024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45322</v>
      </c>
      <c r="E885" s="1" t="n">
        <v>46223</v>
      </c>
      <c r="F885" t="inlineStr">
        <is>
          <t>GÄVLEBORGS LÄN</t>
        </is>
      </c>
      <c r="G885" t="inlineStr">
        <is>
          <t>GÄVLE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22923-2025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45790</v>
      </c>
      <c r="E886" s="1" t="n">
        <v>46223</v>
      </c>
      <c r="F886" t="inlineStr">
        <is>
          <t>GÄVLEBORGS LÄN</t>
        </is>
      </c>
      <c r="G886" t="inlineStr">
        <is>
          <t>GÄVLE</t>
        </is>
      </c>
      <c r="I886" t="n">
        <v>20.8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22879-2025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45790</v>
      </c>
      <c r="E887" s="1" t="n">
        <v>46223</v>
      </c>
      <c r="F887" t="inlineStr">
        <is>
          <t>GÄVLEBORGS LÄN</t>
        </is>
      </c>
      <c r="G887" t="inlineStr">
        <is>
          <t>GÄVLE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45660</v>
      </c>
      <c r="E888" s="1" t="n">
        <v>46223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23324-2025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46223</v>
      </c>
      <c r="F889" t="inlineStr">
        <is>
          <t>GÄVLEBORGS LÄN</t>
        </is>
      </c>
      <c r="G889" t="inlineStr">
        <is>
          <t>GÄVLE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23291-2025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45791</v>
      </c>
      <c r="E890" s="1" t="n">
        <v>46223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46223</v>
      </c>
      <c r="F891" t="inlineStr">
        <is>
          <t>GÄVLEBORGS LÄN</t>
        </is>
      </c>
      <c r="G891" t="inlineStr">
        <is>
          <t>GÄVLE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48913-2024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45594</v>
      </c>
      <c r="E892" s="1" t="n">
        <v>46223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55878-2024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45623</v>
      </c>
      <c r="E893" s="1" t="n">
        <v>46223</v>
      </c>
      <c r="F893" t="inlineStr">
        <is>
          <t>GÄVLEBORGS LÄN</t>
        </is>
      </c>
      <c r="G893" t="inlineStr">
        <is>
          <t>GÄVLE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58373-2024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45632</v>
      </c>
      <c r="E894" s="1" t="n">
        <v>46223</v>
      </c>
      <c r="F894" t="inlineStr">
        <is>
          <t>GÄVLEBORGS LÄN</t>
        </is>
      </c>
      <c r="G894" t="inlineStr">
        <is>
          <t>GÄVLE</t>
        </is>
      </c>
      <c r="I894" t="n">
        <v>13.1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24225-2025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45797</v>
      </c>
      <c r="E895" s="1" t="n">
        <v>46223</v>
      </c>
      <c r="F895" t="inlineStr">
        <is>
          <t>GÄVLEBORGS LÄN</t>
        </is>
      </c>
      <c r="G895" t="inlineStr">
        <is>
          <t>GÄVLE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24614-2025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45798</v>
      </c>
      <c r="E896" s="1" t="n">
        <v>46223</v>
      </c>
      <c r="F896" t="inlineStr">
        <is>
          <t>GÄVLEBORGS LÄN</t>
        </is>
      </c>
      <c r="G896" t="inlineStr">
        <is>
          <t>GÄVLE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24228-2025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46223</v>
      </c>
      <c r="F897" t="inlineStr">
        <is>
          <t>GÄVLEBORGS LÄN</t>
        </is>
      </c>
      <c r="G897" t="inlineStr">
        <is>
          <t>GÄVLE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31367-2024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45505</v>
      </c>
      <c r="E898" s="1" t="n">
        <v>46223</v>
      </c>
      <c r="F898" t="inlineStr">
        <is>
          <t>GÄVLEBORGS LÄN</t>
        </is>
      </c>
      <c r="G898" t="inlineStr">
        <is>
          <t>GÄVLE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26564-2022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44739</v>
      </c>
      <c r="E899" s="1" t="n">
        <v>46223</v>
      </c>
      <c r="F899" t="inlineStr">
        <is>
          <t>GÄVLEBORGS LÄN</t>
        </is>
      </c>
      <c r="G899" t="inlineStr">
        <is>
          <t>GÄVLE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25878-2025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45804</v>
      </c>
      <c r="E900" s="1" t="n">
        <v>46223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46223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Y901">
        <f>HYPERLINK("https://klasma.github.io/Logging_2180/knärot/S 3425-2023 karta knärot.png", "S 3425-2023")</f>
        <v/>
      </c>
      <c r="Z901">
        <f>HYPERLINK("https://klasma.github.io/Logging_2180/klagomål/S 3425-2023 FSC-klagomål.docx", "S 3425-2023")</f>
        <v/>
      </c>
      <c r="AA901">
        <f>HYPERLINK("https://klasma.github.io/Logging_2180/klagomålsmail/S 3425-2023 FSC-klagomål mail.docx", "S 3425-2023")</f>
        <v/>
      </c>
      <c r="AB901">
        <f>HYPERLINK("https://klasma.github.io/Logging_2180/tillsyn/S 3425-2023 tillsynsbegäran.docx", "S 3425-2023")</f>
        <v/>
      </c>
      <c r="AC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46223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46223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46223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2026-07-20T01:44:59Z</dcterms:created>
  <dcterms:modified xmlns:dcterms="http://purl.org/dc/terms/" xmlns:xsi="http://www.w3.org/2001/XMLSchema-instance" xsi:type="dcterms:W3CDTF">2026-07-20T01:45:00Z</dcterms:modified>
</cp:coreProperties>
</file>