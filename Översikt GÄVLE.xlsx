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46230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46230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46230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46230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46230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46230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46230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46230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46230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46230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46230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46230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46230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46230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46230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46230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46230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46230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46230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46230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46230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46230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46230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46230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46230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46230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46230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46230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46230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46230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15757-2026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46230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5.8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Älg
Spillkråka
Tjäder</t>
        </is>
      </c>
      <c r="W38">
        <f>HYPERLINK("https://klasma.github.io/Logging_2180/artfynd/A 15757-2026 artfynd.xlsx", "A 15757-2026")</f>
        <v/>
      </c>
      <c r="X38">
        <f>HYPERLINK("https://klasma.github.io/Logging_2180/kartor/A 15757-2026 karta.png", "A 15757-2026")</f>
        <v/>
      </c>
      <c r="Y38">
        <f>HYPERLINK("https://klasma.github.io/Logging_2180/kartor_geotiff/A 15757-2026 georefererad karta.tif", "A 15757-2026")</f>
        <v/>
      </c>
      <c r="AA38">
        <f>HYPERLINK("https://klasma.github.io/Logging_2180/klagomål/A 15757-2026 FSC-klagomål.docx", "A 15757-2026")</f>
        <v/>
      </c>
      <c r="AB38">
        <f>HYPERLINK("https://klasma.github.io/Logging_2180/klagomålsmail/A 15757-2026 FSC-klagomål mail.docx", "A 15757-2026")</f>
        <v/>
      </c>
      <c r="AC38">
        <f>HYPERLINK("https://klasma.github.io/Logging_2180/tillsyn/A 15757-2026 tillsynsbegäran.docx", "A 15757-2026")</f>
        <v/>
      </c>
      <c r="AD38">
        <f>HYPERLINK("https://klasma.github.io/Logging_2180/tillsynsmail/A 15757-2026 tillsynsbegäran mail.docx", "A 15757-2026")</f>
        <v/>
      </c>
      <c r="AE38">
        <f>HYPERLINK("https://klasma.github.io/Logging_2180/fåglar/A 15757-2026 prioriterade fågelarter.docx", "A 15757-2026")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46230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46230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46230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46230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46230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46230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46230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46230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46230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46230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46230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46230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46230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46230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46230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56538-2022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46230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Dropptaggsvamp
Blåsippa</t>
        </is>
      </c>
      <c r="W54">
        <f>HYPERLINK("https://klasma.github.io/Logging_2180/artfynd/A 56538-2022 artfynd.xlsx", "A 56538-2022")</f>
        <v/>
      </c>
      <c r="X54">
        <f>HYPERLINK("https://klasma.github.io/Logging_2180/kartor/A 56538-2022 karta.png", "A 56538-2022")</f>
        <v/>
      </c>
      <c r="Y54">
        <f>HYPERLINK("https://klasma.github.io/Logging_2180/kartor_geotiff/A 56538-2022 georefererad karta.tif", "A 56538-2022")</f>
        <v/>
      </c>
      <c r="AA54">
        <f>HYPERLINK("https://klasma.github.io/Logging_2180/klagomål/A 56538-2022 FSC-klagomål.docx", "A 56538-2022")</f>
        <v/>
      </c>
      <c r="AB54">
        <f>HYPERLINK("https://klasma.github.io/Logging_2180/klagomålsmail/A 56538-2022 FSC-klagomål mail.docx", "A 56538-2022")</f>
        <v/>
      </c>
      <c r="AC54">
        <f>HYPERLINK("https://klasma.github.io/Logging_2180/tillsyn/A 56538-2022 tillsynsbegäran.docx", "A 56538-2022")</f>
        <v/>
      </c>
      <c r="AD54">
        <f>HYPERLINK("https://klasma.github.io/Logging_2180/tillsynsmail/A 56538-2022 tillsynsbegäran mail.docx", "A 56538-2022")</f>
        <v/>
      </c>
    </row>
    <row r="55" ht="15" customHeight="1">
      <c r="A55" t="inlineStr">
        <is>
          <t>A 18218-2024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45420</v>
      </c>
      <c r="E55" s="1" t="n">
        <v>46230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Blåsippa
Havsörn</t>
        </is>
      </c>
      <c r="W55">
        <f>HYPERLINK("https://klasma.github.io/Logging_2180/artfynd/A 18218-2024 artfynd.xlsx", "A 18218-2024")</f>
        <v/>
      </c>
      <c r="X55">
        <f>HYPERLINK("https://klasma.github.io/Logging_2180/kartor/A 18218-2024 karta.png", "A 18218-2024")</f>
        <v/>
      </c>
      <c r="Y55">
        <f>HYPERLINK("https://klasma.github.io/Logging_2180/kartor_geotiff/A 18218-2024 georefererad karta.tif", "A 18218-2024")</f>
        <v/>
      </c>
      <c r="AA55">
        <f>HYPERLINK("https://klasma.github.io/Logging_2180/klagomål/A 18218-2024 FSC-klagomål.docx", "A 18218-2024")</f>
        <v/>
      </c>
      <c r="AB55">
        <f>HYPERLINK("https://klasma.github.io/Logging_2180/klagomålsmail/A 18218-2024 FSC-klagomål mail.docx", "A 18218-2024")</f>
        <v/>
      </c>
      <c r="AC55">
        <f>HYPERLINK("https://klasma.github.io/Logging_2180/tillsyn/A 18218-2024 tillsynsbegäran.docx", "A 18218-2024")</f>
        <v/>
      </c>
      <c r="AD55">
        <f>HYPERLINK("https://klasma.github.io/Logging_2180/tillsynsmail/A 18218-2024 tillsynsbegäran mail.docx", "A 18218-2024")</f>
        <v/>
      </c>
      <c r="AE55">
        <f>HYPERLINK("https://klasma.github.io/Logging_2180/fåglar/A 18218-2024 prioriterade fågelarter.docx", "A 18218-2024")</f>
        <v/>
      </c>
    </row>
    <row r="56" ht="15" customHeight="1">
      <c r="A56" t="inlineStr">
        <is>
          <t>A 64533-2023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46230</v>
      </c>
      <c r="F56" t="inlineStr">
        <is>
          <t>GÄVLEBORGS LÄN</t>
        </is>
      </c>
      <c r="G56" t="inlineStr">
        <is>
          <t>GÄVLE</t>
        </is>
      </c>
      <c r="I56" t="n">
        <v>1.1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Aspvedgnagare
Jättesvampmal</t>
        </is>
      </c>
      <c r="W56">
        <f>HYPERLINK("https://klasma.github.io/Logging_2180/artfynd/A 64533-2023 artfynd.xlsx", "A 64533-2023")</f>
        <v/>
      </c>
      <c r="X56">
        <f>HYPERLINK("https://klasma.github.io/Logging_2180/kartor/A 64533-2023 karta.png", "A 64533-2023")</f>
        <v/>
      </c>
      <c r="Y56">
        <f>HYPERLINK("https://klasma.github.io/Logging_2180/kartor_geotiff/A 64533-2023 georefererad karta.tif", "A 64533-2023")</f>
        <v/>
      </c>
      <c r="AA56">
        <f>HYPERLINK("https://klasma.github.io/Logging_2180/klagomål/A 64533-2023 FSC-klagomål.docx", "A 64533-2023")</f>
        <v/>
      </c>
      <c r="AB56">
        <f>HYPERLINK("https://klasma.github.io/Logging_2180/klagomålsmail/A 64533-2023 FSC-klagomål mail.docx", "A 64533-2023")</f>
        <v/>
      </c>
      <c r="AC56">
        <f>HYPERLINK("https://klasma.github.io/Logging_2180/tillsyn/A 64533-2023 tillsynsbegäran.docx", "A 64533-2023")</f>
        <v/>
      </c>
      <c r="AD56">
        <f>HYPERLINK("https://klasma.github.io/Logging_2180/tillsynsmail/A 64533-2023 tillsynsbegäran mail.docx", "A 64533-2023")</f>
        <v/>
      </c>
    </row>
    <row r="57" ht="15" customHeight="1">
      <c r="A57" t="inlineStr">
        <is>
          <t>A 50049-2025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46230</v>
      </c>
      <c r="F57" t="inlineStr">
        <is>
          <t>GÄVLEBORGS LÄN</t>
        </is>
      </c>
      <c r="G57" t="inlineStr">
        <is>
          <t>GÄVLE</t>
        </is>
      </c>
      <c r="H57" t="inlineStr">
        <is>
          <t>Kyrkan</t>
        </is>
      </c>
      <c r="I57" t="n">
        <v>10.3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Vårärt
Blåsippa</t>
        </is>
      </c>
      <c r="W57">
        <f>HYPERLINK("https://klasma.github.io/Logging_2180/artfynd/A 50049-2025 artfynd.xlsx", "A 50049-2025")</f>
        <v/>
      </c>
      <c r="X57">
        <f>HYPERLINK("https://klasma.github.io/Logging_2180/kartor/A 50049-2025 karta.png", "A 50049-2025")</f>
        <v/>
      </c>
      <c r="Y57">
        <f>HYPERLINK("https://klasma.github.io/Logging_2180/kartor_geotiff/A 50049-2025 georefererad karta.tif", "A 50049-2025")</f>
        <v/>
      </c>
      <c r="AA57">
        <f>HYPERLINK("https://klasma.github.io/Logging_2180/klagomål/A 50049-2025 FSC-klagomål.docx", "A 50049-2025")</f>
        <v/>
      </c>
      <c r="AB57">
        <f>HYPERLINK("https://klasma.github.io/Logging_2180/klagomålsmail/A 50049-2025 FSC-klagomål mail.docx", "A 50049-2025")</f>
        <v/>
      </c>
      <c r="AC57">
        <f>HYPERLINK("https://klasma.github.io/Logging_2180/tillsyn/A 50049-2025 tillsynsbegäran.docx", "A 50049-2025")</f>
        <v/>
      </c>
      <c r="AD57">
        <f>HYPERLINK("https://klasma.github.io/Logging_2180/tillsynsmail/A 50049-2025 tillsynsbegäran mail.docx", "A 50049-2025")</f>
        <v/>
      </c>
    </row>
    <row r="58" ht="15" customHeight="1">
      <c r="A58" t="inlineStr">
        <is>
          <t>A 14701-2026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46230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Fläcknycklar</t>
        </is>
      </c>
      <c r="W58">
        <f>HYPERLINK("https://klasma.github.io/Logging_2180/artfynd/A 14701-2026 artfynd.xlsx", "A 14701-2026")</f>
        <v/>
      </c>
      <c r="X58">
        <f>HYPERLINK("https://klasma.github.io/Logging_2180/kartor/A 14701-2026 karta.png", "A 14701-2026")</f>
        <v/>
      </c>
      <c r="Y58">
        <f>HYPERLINK("https://klasma.github.io/Logging_2180/kartor_geotiff/A 14701-2026 georefererad karta.tif", "A 14701-2026")</f>
        <v/>
      </c>
      <c r="AA58">
        <f>HYPERLINK("https://klasma.github.io/Logging_2180/klagomål/A 14701-2026 FSC-klagomål.docx", "A 14701-2026")</f>
        <v/>
      </c>
      <c r="AB58">
        <f>HYPERLINK("https://klasma.github.io/Logging_2180/klagomålsmail/A 14701-2026 FSC-klagomål mail.docx", "A 14701-2026")</f>
        <v/>
      </c>
      <c r="AC58">
        <f>HYPERLINK("https://klasma.github.io/Logging_2180/tillsyn/A 14701-2026 tillsynsbegäran.docx", "A 14701-2026")</f>
        <v/>
      </c>
      <c r="AD58">
        <f>HYPERLINK("https://klasma.github.io/Logging_2180/tillsynsmail/A 14701-2026 tillsynsbegäran mail.docx", "A 14701-2026")</f>
        <v/>
      </c>
      <c r="AE58">
        <f>HYPERLINK("https://klasma.github.io/Logging_2180/fåglar/A 14701-2026 prioriterade fågelarter.docx", "A 14701-2026")</f>
        <v/>
      </c>
    </row>
    <row r="59" ht="15" customHeight="1">
      <c r="A59" t="inlineStr">
        <is>
          <t>A 17297-2026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46230</v>
      </c>
      <c r="F59" t="inlineStr">
        <is>
          <t>GÄVLEBORGS LÄN</t>
        </is>
      </c>
      <c r="G59" t="inlineStr">
        <is>
          <t>GÄVLE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Slåtterfibbla
Blåsippa</t>
        </is>
      </c>
      <c r="W59">
        <f>HYPERLINK("https://klasma.github.io/Logging_2180/artfynd/A 17297-2026 artfynd.xlsx", "A 17297-2026")</f>
        <v/>
      </c>
      <c r="X59">
        <f>HYPERLINK("https://klasma.github.io/Logging_2180/kartor/A 17297-2026 karta.png", "A 17297-2026")</f>
        <v/>
      </c>
      <c r="Y59">
        <f>HYPERLINK("https://klasma.github.io/Logging_2180/kartor_geotiff/A 17297-2026 georefererad karta.tif", "A 17297-2026")</f>
        <v/>
      </c>
      <c r="AA59">
        <f>HYPERLINK("https://klasma.github.io/Logging_2180/klagomål/A 17297-2026 FSC-klagomål.docx", "A 17297-2026")</f>
        <v/>
      </c>
      <c r="AB59">
        <f>HYPERLINK("https://klasma.github.io/Logging_2180/klagomålsmail/A 17297-2026 FSC-klagomål mail.docx", "A 17297-2026")</f>
        <v/>
      </c>
      <c r="AC59">
        <f>HYPERLINK("https://klasma.github.io/Logging_2180/tillsyn/A 17297-2026 tillsynsbegäran.docx", "A 17297-2026")</f>
        <v/>
      </c>
      <c r="AD59">
        <f>HYPERLINK("https://klasma.github.io/Logging_2180/tillsynsmail/A 17297-2026 tillsynsbegäran mail.docx", "A 17297-2026")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46230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Vedtrappmossa
Rödgul trumpetsvamp</t>
        </is>
      </c>
      <c r="W60">
        <f>HYPERLINK("https://klasma.github.io/Logging_2180/artfynd/A 22149-2026 artfynd.xlsx", "A 22149-2026")</f>
        <v/>
      </c>
      <c r="X60">
        <f>HYPERLINK("https://klasma.github.io/Logging_2180/kartor/A 22149-2026 karta.png", "A 22149-2026")</f>
        <v/>
      </c>
      <c r="Y60">
        <f>HYPERLINK("https://klasma.github.io/Logging_2180/kartor_geotiff/A 22149-2026 georefererad karta.tif", "A 22149-2026")</f>
        <v/>
      </c>
      <c r="AA60">
        <f>HYPERLINK("https://klasma.github.io/Logging_2180/klagomål/A 22149-2026 FSC-klagomål.docx", "A 22149-2026")</f>
        <v/>
      </c>
      <c r="AB60">
        <f>HYPERLINK("https://klasma.github.io/Logging_2180/klagomålsmail/A 22149-2026 FSC-klagomål mail.docx", "A 22149-2026")</f>
        <v/>
      </c>
      <c r="AC60">
        <f>HYPERLINK("https://klasma.github.io/Logging_2180/tillsyn/A 22149-2026 tillsynsbegäran.docx", "A 22149-2026")</f>
        <v/>
      </c>
      <c r="AD60">
        <f>HYPERLINK("https://klasma.github.io/Logging_2180/tillsynsmail/A 22149-2026 tillsynsbegäran mail.docx", "A 22149-2026")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46230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6473-2024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46230</v>
      </c>
      <c r="F62" t="inlineStr">
        <is>
          <t>GÄVLEBORGS LÄN</t>
        </is>
      </c>
      <c r="G62" t="inlineStr">
        <is>
          <t>GÄVLE</t>
        </is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Tibast
Nattviol</t>
        </is>
      </c>
      <c r="W62">
        <f>HYPERLINK("https://klasma.github.io/Logging_2180/artfynd/A 6473-2024 artfynd.xlsx", "A 6473-2024")</f>
        <v/>
      </c>
      <c r="X62">
        <f>HYPERLINK("https://klasma.github.io/Logging_2180/kartor/A 6473-2024 karta.png", "A 6473-2024")</f>
        <v/>
      </c>
      <c r="Y62">
        <f>HYPERLINK("https://klasma.github.io/Logging_2180/kartor_geotiff/A 6473-2024 georefererad karta.tif", "A 6473-2024")</f>
        <v/>
      </c>
      <c r="AA62">
        <f>HYPERLINK("https://klasma.github.io/Logging_2180/klagomål/A 6473-2024 FSC-klagomål.docx", "A 6473-2024")</f>
        <v/>
      </c>
      <c r="AB62">
        <f>HYPERLINK("https://klasma.github.io/Logging_2180/klagomålsmail/A 6473-2024 FSC-klagomål mail.docx", "A 6473-2024")</f>
        <v/>
      </c>
      <c r="AC62">
        <f>HYPERLINK("https://klasma.github.io/Logging_2180/tillsyn/A 6473-2024 tillsynsbegäran.docx", "A 6473-2024")</f>
        <v/>
      </c>
      <c r="AD62">
        <f>HYPERLINK("https://klasma.github.io/Logging_2180/tillsynsmail/A 6473-2024 tillsynsbegäran mail.docx", "A 6473-2024")</f>
        <v/>
      </c>
    </row>
    <row r="63" ht="15" customHeight="1">
      <c r="A63" t="inlineStr">
        <is>
          <t>A 29634-2026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46199</v>
      </c>
      <c r="E63" s="1" t="n">
        <v>46230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6.3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Brunag
Strandlummer</t>
        </is>
      </c>
      <c r="W63">
        <f>HYPERLINK("https://klasma.github.io/Logging_2180/artfynd/A 29634-2026 artfynd.xlsx", "A 29634-2026")</f>
        <v/>
      </c>
      <c r="X63">
        <f>HYPERLINK("https://klasma.github.io/Logging_2180/kartor/A 29634-2026 karta.png", "A 29634-2026")</f>
        <v/>
      </c>
      <c r="Y63">
        <f>HYPERLINK("https://klasma.github.io/Logging_2180/kartor_geotiff/A 29634-2026 georefererad karta.tif", "A 29634-2026")</f>
        <v/>
      </c>
      <c r="AA63">
        <f>HYPERLINK("https://klasma.github.io/Logging_2180/klagomål/A 29634-2026 FSC-klagomål.docx", "A 29634-2026")</f>
        <v/>
      </c>
      <c r="AB63">
        <f>HYPERLINK("https://klasma.github.io/Logging_2180/klagomålsmail/A 29634-2026 FSC-klagomål mail.docx", "A 29634-2026")</f>
        <v/>
      </c>
      <c r="AC63">
        <f>HYPERLINK("https://klasma.github.io/Logging_2180/tillsyn/A 29634-2026 tillsynsbegäran.docx", "A 29634-2026")</f>
        <v/>
      </c>
      <c r="AD63">
        <f>HYPERLINK("https://klasma.github.io/Logging_2180/tillsynsmail/A 29634-2026 tillsynsbegäran mail.docx", "A 29634-2026")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46230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46230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121</v>
      </c>
      <c r="U65" t="n">
        <v>0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46230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13487-2026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46230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1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Pärluggla
Sparvuggla</t>
        </is>
      </c>
      <c r="W67">
        <f>HYPERLINK("https://klasma.github.io/Logging_2180/artfynd/A 13487-2026 artfynd.xlsx", "A 13487-2026")</f>
        <v/>
      </c>
      <c r="X67">
        <f>HYPERLINK("https://klasma.github.io/Logging_2180/kartor/A 13487-2026 karta.png", "A 13487-2026")</f>
        <v/>
      </c>
      <c r="Y67">
        <f>HYPERLINK("https://klasma.github.io/Logging_2180/kartor_geotiff/A 13487-2026 georefererad karta.tif", "A 13487-2026")</f>
        <v/>
      </c>
      <c r="AA67">
        <f>HYPERLINK("https://klasma.github.io/Logging_2180/klagomål/A 13487-2026 FSC-klagomål.docx", "A 13487-2026")</f>
        <v/>
      </c>
      <c r="AB67">
        <f>HYPERLINK("https://klasma.github.io/Logging_2180/klagomålsmail/A 13487-2026 FSC-klagomål mail.docx", "A 13487-2026")</f>
        <v/>
      </c>
      <c r="AC67">
        <f>HYPERLINK("https://klasma.github.io/Logging_2180/tillsyn/A 13487-2026 tillsynsbegäran.docx", "A 13487-2026")</f>
        <v/>
      </c>
      <c r="AD67">
        <f>HYPERLINK("https://klasma.github.io/Logging_2180/tillsynsmail/A 13487-2026 tillsynsbegäran mail.docx", "A 13487-2026")</f>
        <v/>
      </c>
      <c r="AE67">
        <f>HYPERLINK("https://klasma.github.io/Logging_2180/fåglar/A 13487-2026 prioriterade fågelarter.docx", "A 13487-2026")</f>
        <v/>
      </c>
    </row>
    <row r="68" ht="15" customHeight="1">
      <c r="A68" t="inlineStr">
        <is>
          <t>A 24915-2026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46230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24915-2026 artfynd.xlsx", "A 24915-2026")</f>
        <v/>
      </c>
      <c r="X68">
        <f>HYPERLINK("https://klasma.github.io/Logging_2180/kartor/A 24915-2026 karta.png", "A 24915-2026")</f>
        <v/>
      </c>
      <c r="Y68">
        <f>HYPERLINK("https://klasma.github.io/Logging_2180/kartor_geotiff/A 24915-2026 georefererad karta.tif", "A 24915-2026")</f>
        <v/>
      </c>
      <c r="AA68">
        <f>HYPERLINK("https://klasma.github.io/Logging_2180/klagomål/A 24915-2026 FSC-klagomål.docx", "A 24915-2026")</f>
        <v/>
      </c>
      <c r="AB68">
        <f>HYPERLINK("https://klasma.github.io/Logging_2180/klagomålsmail/A 24915-2026 FSC-klagomål mail.docx", "A 24915-2026")</f>
        <v/>
      </c>
      <c r="AC68">
        <f>HYPERLINK("https://klasma.github.io/Logging_2180/tillsyn/A 24915-2026 tillsynsbegäran.docx", "A 24915-2026")</f>
        <v/>
      </c>
      <c r="AD68">
        <f>HYPERLINK("https://klasma.github.io/Logging_2180/tillsynsmail/A 24915-2026 tillsynsbegäran mail.docx", "A 24915-2026")</f>
        <v/>
      </c>
    </row>
    <row r="69" ht="15" customHeight="1">
      <c r="A69" t="inlineStr">
        <is>
          <t>A 13248-2026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46230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Kattfotslav
Fläcknycklar</t>
        </is>
      </c>
      <c r="W69">
        <f>HYPERLINK("https://klasma.github.io/Logging_2180/artfynd/A 13248-2026 artfynd.xlsx", "A 13248-2026")</f>
        <v/>
      </c>
      <c r="X69">
        <f>HYPERLINK("https://klasma.github.io/Logging_2180/kartor/A 13248-2026 karta.png", "A 13248-2026")</f>
        <v/>
      </c>
      <c r="Y69">
        <f>HYPERLINK("https://klasma.github.io/Logging_2180/kartor_geotiff/A 13248-2026 georefererad karta.tif", "A 13248-2026")</f>
        <v/>
      </c>
      <c r="AA69">
        <f>HYPERLINK("https://klasma.github.io/Logging_2180/klagomål/A 13248-2026 FSC-klagomål.docx", "A 13248-2026")</f>
        <v/>
      </c>
      <c r="AB69">
        <f>HYPERLINK("https://klasma.github.io/Logging_2180/klagomålsmail/A 13248-2026 FSC-klagomål mail.docx", "A 13248-2026")</f>
        <v/>
      </c>
      <c r="AC69">
        <f>HYPERLINK("https://klasma.github.io/Logging_2180/tillsyn/A 13248-2026 tillsynsbegäran.docx", "A 13248-2026")</f>
        <v/>
      </c>
      <c r="AD69">
        <f>HYPERLINK("https://klasma.github.io/Logging_2180/tillsynsmail/A 13248-2026 tillsynsbegäran mail.docx", "A 13248-2026")</f>
        <v/>
      </c>
    </row>
    <row r="70" ht="15" customHeight="1">
      <c r="A70" t="inlineStr">
        <is>
          <t>A 19718-2026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46230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10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Rödvingetrast
Nattskärra</t>
        </is>
      </c>
      <c r="W70">
        <f>HYPERLINK("https://klasma.github.io/Logging_2180/artfynd/A 19718-2026 artfynd.xlsx", "A 19718-2026")</f>
        <v/>
      </c>
      <c r="X70">
        <f>HYPERLINK("https://klasma.github.io/Logging_2180/kartor/A 19718-2026 karta.png", "A 19718-2026")</f>
        <v/>
      </c>
      <c r="Y70">
        <f>HYPERLINK("https://klasma.github.io/Logging_2180/kartor_geotiff/A 19718-2026 georefererad karta.tif", "A 19718-2026")</f>
        <v/>
      </c>
      <c r="AA70">
        <f>HYPERLINK("https://klasma.github.io/Logging_2180/klagomål/A 19718-2026 FSC-klagomål.docx", "A 19718-2026")</f>
        <v/>
      </c>
      <c r="AB70">
        <f>HYPERLINK("https://klasma.github.io/Logging_2180/klagomålsmail/A 19718-2026 FSC-klagomål mail.docx", "A 19718-2026")</f>
        <v/>
      </c>
      <c r="AC70">
        <f>HYPERLINK("https://klasma.github.io/Logging_2180/tillsyn/A 19718-2026 tillsynsbegäran.docx", "A 19718-2026")</f>
        <v/>
      </c>
      <c r="AD70">
        <f>HYPERLINK("https://klasma.github.io/Logging_2180/tillsynsmail/A 19718-2026 tillsynsbegäran mail.docx", "A 19718-2026")</f>
        <v/>
      </c>
      <c r="AE70">
        <f>HYPERLINK("https://klasma.github.io/Logging_2180/fåglar/A 19718-2026 prioriterade fågelarter.docx", "A 19718-2026")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46230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46230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46230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46230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46230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46230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5409-2023 artfynd.xlsx", "A 5409-2023")</f>
        <v/>
      </c>
      <c r="X77">
        <f>HYPERLINK("https://klasma.github.io/Logging_2180/kartor/A 5409-2023 karta.png", "A 5409-2023")</f>
        <v/>
      </c>
      <c r="Y77">
        <f>HYPERLINK("https://klasma.github.io/Logging_2180/kartor_geotiff/A 5409-2023 georefererad karta.tif", "A 5409-2023")</f>
        <v/>
      </c>
      <c r="AA77">
        <f>HYPERLINK("https://klasma.github.io/Logging_2180/klagomål/A 5409-2023 FSC-klagomål.docx", "A 5409-2023")</f>
        <v/>
      </c>
      <c r="AB77">
        <f>HYPERLINK("https://klasma.github.io/Logging_2180/klagomålsmail/A 5409-2023 FSC-klagomål mail.docx", "A 5409-2023")</f>
        <v/>
      </c>
      <c r="AC77">
        <f>HYPERLINK("https://klasma.github.io/Logging_2180/tillsyn/A 5409-2023 tillsynsbegäran.docx", "A 5409-2023")</f>
        <v/>
      </c>
      <c r="AD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46230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5415-2023 artfynd.xlsx", "A 5415-2023")</f>
        <v/>
      </c>
      <c r="X78">
        <f>HYPERLINK("https://klasma.github.io/Logging_2180/kartor/A 5415-2023 karta.png", "A 5415-2023")</f>
        <v/>
      </c>
      <c r="Y78">
        <f>HYPERLINK("https://klasma.github.io/Logging_2180/kartor_geotiff/A 5415-2023 georefererad karta.tif", "A 5415-2023")</f>
        <v/>
      </c>
      <c r="AA78">
        <f>HYPERLINK("https://klasma.github.io/Logging_2180/klagomål/A 5415-2023 FSC-klagomål.docx", "A 5415-2023")</f>
        <v/>
      </c>
      <c r="AB78">
        <f>HYPERLINK("https://klasma.github.io/Logging_2180/klagomålsmail/A 5415-2023 FSC-klagomål mail.docx", "A 5415-2023")</f>
        <v/>
      </c>
      <c r="AC78">
        <f>HYPERLINK("https://klasma.github.io/Logging_2180/tillsyn/A 5415-2023 tillsynsbegäran.docx", "A 5415-2023")</f>
        <v/>
      </c>
      <c r="AD78">
        <f>HYPERLINK("https://klasma.github.io/Logging_2180/tillsynsmail/A 5415-2023 tillsynsbegäran mail.docx", "A 5415-2023")</f>
        <v/>
      </c>
    </row>
    <row r="79" ht="15" customHeight="1">
      <c r="A79" t="inlineStr">
        <is>
          <t>A 35225-2024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46230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HYPERLINK("https://klasma.github.io/Logging_2180/artfynd/A 35225-2024 artfynd.xlsx", "A 35225-2024")</f>
        <v/>
      </c>
      <c r="X79">
        <f>HYPERLINK("https://klasma.github.io/Logging_2180/kartor/A 35225-2024 karta.png", "A 35225-2024")</f>
        <v/>
      </c>
      <c r="Y79">
        <f>HYPERLINK("https://klasma.github.io/Logging_2180/kartor_geotiff/A 35225-2024 georefererad karta.tif", "A 35225-2024")</f>
        <v/>
      </c>
      <c r="AA79">
        <f>HYPERLINK("https://klasma.github.io/Logging_2180/klagomål/A 35225-2024 FSC-klagomål.docx", "A 35225-2024")</f>
        <v/>
      </c>
      <c r="AB79">
        <f>HYPERLINK("https://klasma.github.io/Logging_2180/klagomålsmail/A 35225-2024 FSC-klagomål mail.docx", "A 35225-2024")</f>
        <v/>
      </c>
      <c r="AC79">
        <f>HYPERLINK("https://klasma.github.io/Logging_2180/tillsyn/A 35225-2024 tillsynsbegäran.docx", "A 35225-2024")</f>
        <v/>
      </c>
      <c r="AD79">
        <f>HYPERLINK("https://klasma.github.io/Logging_2180/tillsynsmail/A 35225-2024 tillsynsbegäran mail.docx", "A 35225-2024")</f>
        <v/>
      </c>
    </row>
    <row r="80" ht="15" customHeight="1">
      <c r="A80" t="inlineStr">
        <is>
          <t>A 15001-2023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45015</v>
      </c>
      <c r="E80" s="1" t="n">
        <v>46230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2.7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Ängsblåvinge</t>
        </is>
      </c>
      <c r="W80">
        <f>HYPERLINK("https://klasma.github.io/Logging_2180/artfynd/A 15001-2023 artfynd.xlsx", "A 15001-2023")</f>
        <v/>
      </c>
      <c r="X80">
        <f>HYPERLINK("https://klasma.github.io/Logging_2180/kartor/A 15001-2023 karta.png", "A 15001-2023")</f>
        <v/>
      </c>
      <c r="Y80">
        <f>HYPERLINK("https://klasma.github.io/Logging_2180/kartor_geotiff/A 15001-2023 georefererad karta.tif", "A 15001-2023")</f>
        <v/>
      </c>
      <c r="AA80">
        <f>HYPERLINK("https://klasma.github.io/Logging_2180/klagomål/A 15001-2023 FSC-klagomål.docx", "A 15001-2023")</f>
        <v/>
      </c>
      <c r="AB80">
        <f>HYPERLINK("https://klasma.github.io/Logging_2180/klagomålsmail/A 15001-2023 FSC-klagomål mail.docx", "A 15001-2023")</f>
        <v/>
      </c>
      <c r="AC80">
        <f>HYPERLINK("https://klasma.github.io/Logging_2180/tillsyn/A 15001-2023 tillsynsbegäran.docx", "A 15001-2023")</f>
        <v/>
      </c>
      <c r="AD80">
        <f>HYPERLINK("https://klasma.github.io/Logging_2180/tillsynsmail/A 15001-2023 tillsynsbegäran mail.docx", "A 15001-2023")</f>
        <v/>
      </c>
    </row>
    <row r="81" ht="15" customHeight="1">
      <c r="A81" t="inlineStr">
        <is>
          <t>A 33812-2022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46230</v>
      </c>
      <c r="F81" t="inlineStr">
        <is>
          <t>GÄVLEBORGS LÄN</t>
        </is>
      </c>
      <c r="G81" t="inlineStr">
        <is>
          <t>GÄVLE</t>
        </is>
      </c>
      <c r="I81" t="n">
        <v>2.1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Myskmadra</t>
        </is>
      </c>
      <c r="W81">
        <f>HYPERLINK("https://klasma.github.io/Logging_2180/artfynd/A 33812-2022 artfynd.xlsx", "A 33812-2022")</f>
        <v/>
      </c>
      <c r="X81">
        <f>HYPERLINK("https://klasma.github.io/Logging_2180/kartor/A 33812-2022 karta.png", "A 33812-2022")</f>
        <v/>
      </c>
      <c r="Y81">
        <f>HYPERLINK("https://klasma.github.io/Logging_2180/kartor_geotiff/A 33812-2022 georefererad karta.tif", "A 33812-2022")</f>
        <v/>
      </c>
      <c r="AA81">
        <f>HYPERLINK("https://klasma.github.io/Logging_2180/klagomål/A 33812-2022 FSC-klagomål.docx", "A 33812-2022")</f>
        <v/>
      </c>
      <c r="AB81">
        <f>HYPERLINK("https://klasma.github.io/Logging_2180/klagomålsmail/A 33812-2022 FSC-klagomål mail.docx", "A 33812-2022")</f>
        <v/>
      </c>
      <c r="AC81">
        <f>HYPERLINK("https://klasma.github.io/Logging_2180/tillsyn/A 33812-2022 tillsynsbegäran.docx", "A 33812-2022")</f>
        <v/>
      </c>
      <c r="AD81">
        <f>HYPERLINK("https://klasma.github.io/Logging_2180/tillsynsmail/A 33812-2022 tillsynsbegäran mail.docx", "A 33812-2022")</f>
        <v/>
      </c>
    </row>
    <row r="82" ht="15" customHeight="1">
      <c r="A82" t="inlineStr">
        <is>
          <t>A 26157-2022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44735</v>
      </c>
      <c r="E82" s="1" t="n">
        <v>46230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HYPERLINK("https://klasma.github.io/Logging_2180/artfynd/A 26157-2022 artfynd.xlsx", "A 26157-2022")</f>
        <v/>
      </c>
      <c r="X82">
        <f>HYPERLINK("https://klasma.github.io/Logging_2180/kartor/A 26157-2022 karta.png", "A 26157-2022")</f>
        <v/>
      </c>
      <c r="Y82">
        <f>HYPERLINK("https://klasma.github.io/Logging_2180/kartor_geotiff/A 26157-2022 georefererad karta.tif", "A 26157-2022")</f>
        <v/>
      </c>
      <c r="AA82">
        <f>HYPERLINK("https://klasma.github.io/Logging_2180/klagomål/A 26157-2022 FSC-klagomål.docx", "A 26157-2022")</f>
        <v/>
      </c>
      <c r="AB82">
        <f>HYPERLINK("https://klasma.github.io/Logging_2180/klagomålsmail/A 26157-2022 FSC-klagomål mail.docx", "A 26157-2022")</f>
        <v/>
      </c>
      <c r="AC82">
        <f>HYPERLINK("https://klasma.github.io/Logging_2180/tillsyn/A 26157-2022 tillsynsbegäran.docx", "A 26157-2022")</f>
        <v/>
      </c>
      <c r="AD82">
        <f>HYPERLINK("https://klasma.github.io/Logging_2180/tillsynsmail/A 26157-2022 tillsynsbegäran mail.docx", "A 26157-2022")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46230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46230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45241-2022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46230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22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45241-2022 artfynd.xlsx", "A 45241-2022")</f>
        <v/>
      </c>
      <c r="X85">
        <f>HYPERLINK("https://klasma.github.io/Logging_2180/kartor/A 45241-2022 karta.png", "A 45241-2022")</f>
        <v/>
      </c>
      <c r="Y85">
        <f>HYPERLINK("https://klasma.github.io/Logging_2180/kartor_geotiff/A 45241-2022 georefererad karta.tif", "A 45241-2022")</f>
        <v/>
      </c>
      <c r="AA85">
        <f>HYPERLINK("https://klasma.github.io/Logging_2180/klagomål/A 45241-2022 FSC-klagomål.docx", "A 45241-2022")</f>
        <v/>
      </c>
      <c r="AB85">
        <f>HYPERLINK("https://klasma.github.io/Logging_2180/klagomålsmail/A 45241-2022 FSC-klagomål mail.docx", "A 45241-2022")</f>
        <v/>
      </c>
      <c r="AC85">
        <f>HYPERLINK("https://klasma.github.io/Logging_2180/tillsyn/A 45241-2022 tillsynsbegäran.docx", "A 45241-2022")</f>
        <v/>
      </c>
      <c r="AD85">
        <f>HYPERLINK("https://klasma.github.io/Logging_2180/tillsynsmail/A 45241-2022 tillsynsbegäran mail.docx", "A 45241-2022")</f>
        <v/>
      </c>
    </row>
    <row r="86" ht="15" customHeight="1">
      <c r="A86" t="inlineStr">
        <is>
          <t>A 11411-2025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46230</v>
      </c>
      <c r="F86" t="inlineStr">
        <is>
          <t>GÄVLEBORGS LÄN</t>
        </is>
      </c>
      <c r="G86" t="inlineStr">
        <is>
          <t>GÄVLE</t>
        </is>
      </c>
      <c r="I86" t="n">
        <v>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Blåsippa</t>
        </is>
      </c>
      <c r="W86">
        <f>HYPERLINK("https://klasma.github.io/Logging_2180/artfynd/A 11411-2025 artfynd.xlsx", "A 11411-2025")</f>
        <v/>
      </c>
      <c r="X86">
        <f>HYPERLINK("https://klasma.github.io/Logging_2180/kartor/A 11411-2025 karta.png", "A 11411-2025")</f>
        <v/>
      </c>
      <c r="Y86">
        <f>HYPERLINK("https://klasma.github.io/Logging_2180/kartor_geotiff/A 11411-2025 georefererad karta.tif", "A 11411-2025")</f>
        <v/>
      </c>
      <c r="AA86">
        <f>HYPERLINK("https://klasma.github.io/Logging_2180/klagomål/A 11411-2025 FSC-klagomål.docx", "A 11411-2025")</f>
        <v/>
      </c>
      <c r="AB86">
        <f>HYPERLINK("https://klasma.github.io/Logging_2180/klagomålsmail/A 11411-2025 FSC-klagomål mail.docx", "A 11411-2025")</f>
        <v/>
      </c>
      <c r="AC86">
        <f>HYPERLINK("https://klasma.github.io/Logging_2180/tillsyn/A 11411-2025 tillsynsbegäran.docx", "A 11411-2025")</f>
        <v/>
      </c>
      <c r="AD86">
        <f>HYPERLINK("https://klasma.github.io/Logging_2180/tillsynsmail/A 11411-2025 tillsynsbegäran mail.docx", "A 11411-2025")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46230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HYPERLINK("https://klasma.github.io/Logging_2180/artfynd/A 38550-2025 artfynd.xlsx", "A 38550-2025")</f>
        <v/>
      </c>
      <c r="X87">
        <f>HYPERLINK("https://klasma.github.io/Logging_2180/kartor/A 38550-2025 karta.png", "A 38550-2025")</f>
        <v/>
      </c>
      <c r="Y87">
        <f>HYPERLINK("https://klasma.github.io/Logging_2180/kartor_geotiff/A 38550-2025 georefererad karta.tif", "A 38550-2025")</f>
        <v/>
      </c>
      <c r="AA87">
        <f>HYPERLINK("https://klasma.github.io/Logging_2180/klagomål/A 38550-2025 FSC-klagomål.docx", "A 38550-2025")</f>
        <v/>
      </c>
      <c r="AB87">
        <f>HYPERLINK("https://klasma.github.io/Logging_2180/klagomålsmail/A 38550-2025 FSC-klagomål mail.docx", "A 38550-2025")</f>
        <v/>
      </c>
      <c r="AC87">
        <f>HYPERLINK("https://klasma.github.io/Logging_2180/tillsyn/A 38550-2025 tillsynsbegäran.docx", "A 38550-2025")</f>
        <v/>
      </c>
      <c r="AD87">
        <f>HYPERLINK("https://klasma.github.io/Logging_2180/tillsynsmail/A 38550-2025 tillsynsbegäran mail.docx", "A 38550-2025")</f>
        <v/>
      </c>
    </row>
    <row r="88" ht="15" customHeight="1">
      <c r="A88" t="inlineStr">
        <is>
          <t>A 13396-2026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46094</v>
      </c>
      <c r="E88" s="1" t="n">
        <v>46230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Fläcknycklar</t>
        </is>
      </c>
      <c r="W88">
        <f>HYPERLINK("https://klasma.github.io/Logging_2180/artfynd/A 13396-2026 artfynd.xlsx", "A 13396-2026")</f>
        <v/>
      </c>
      <c r="X88">
        <f>HYPERLINK("https://klasma.github.io/Logging_2180/kartor/A 13396-2026 karta.png", "A 13396-2026")</f>
        <v/>
      </c>
      <c r="Y88">
        <f>HYPERLINK("https://klasma.github.io/Logging_2180/kartor_geotiff/A 13396-2026 georefererad karta.tif", "A 13396-2026")</f>
        <v/>
      </c>
      <c r="AA88">
        <f>HYPERLINK("https://klasma.github.io/Logging_2180/klagomål/A 13396-2026 FSC-klagomål.docx", "A 13396-2026")</f>
        <v/>
      </c>
      <c r="AB88">
        <f>HYPERLINK("https://klasma.github.io/Logging_2180/klagomålsmail/A 13396-2026 FSC-klagomål mail.docx", "A 13396-2026")</f>
        <v/>
      </c>
      <c r="AC88">
        <f>HYPERLINK("https://klasma.github.io/Logging_2180/tillsyn/A 13396-2026 tillsynsbegäran.docx", "A 13396-2026")</f>
        <v/>
      </c>
      <c r="AD88">
        <f>HYPERLINK("https://klasma.github.io/Logging_2180/tillsynsmail/A 13396-2026 tillsynsbegäran mail.docx", "A 13396-2026")</f>
        <v/>
      </c>
    </row>
    <row r="89" ht="15" customHeight="1">
      <c r="A89" t="inlineStr">
        <is>
          <t>A 14730-2026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46230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8.199999999999999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HYPERLINK("https://klasma.github.io/Logging_2180/artfynd/A 14730-2026 artfynd.xlsx", "A 14730-2026")</f>
        <v/>
      </c>
      <c r="X89">
        <f>HYPERLINK("https://klasma.github.io/Logging_2180/kartor/A 14730-2026 karta.png", "A 14730-2026")</f>
        <v/>
      </c>
      <c r="Y89">
        <f>HYPERLINK("https://klasma.github.io/Logging_2180/kartor_geotiff/A 14730-2026 georefererad karta.tif", "A 14730-2026")</f>
        <v/>
      </c>
      <c r="AA89">
        <f>HYPERLINK("https://klasma.github.io/Logging_2180/klagomål/A 14730-2026 FSC-klagomål.docx", "A 14730-2026")</f>
        <v/>
      </c>
      <c r="AB89">
        <f>HYPERLINK("https://klasma.github.io/Logging_2180/klagomålsmail/A 14730-2026 FSC-klagomål mail.docx", "A 14730-2026")</f>
        <v/>
      </c>
      <c r="AC89">
        <f>HYPERLINK("https://klasma.github.io/Logging_2180/tillsyn/A 14730-2026 tillsynsbegäran.docx", "A 14730-2026")</f>
        <v/>
      </c>
      <c r="AD89">
        <f>HYPERLINK("https://klasma.github.io/Logging_2180/tillsynsmail/A 14730-2026 tillsynsbegäran mail.docx", "A 14730-2026")</f>
        <v/>
      </c>
      <c r="AE89">
        <f>HYPERLINK("https://klasma.github.io/Logging_2180/fåglar/A 14730-2026 prioriterade fågelarter.docx", "A 14730-2026")</f>
        <v/>
      </c>
    </row>
    <row r="90" ht="15" customHeight="1">
      <c r="A90" t="inlineStr">
        <is>
          <t>A 14714-2026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46230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1.8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Tjäder</t>
        </is>
      </c>
      <c r="W90">
        <f>HYPERLINK("https://klasma.github.io/Logging_2180/artfynd/A 14714-2026 artfynd.xlsx", "A 14714-2026")</f>
        <v/>
      </c>
      <c r="X90">
        <f>HYPERLINK("https://klasma.github.io/Logging_2180/kartor/A 14714-2026 karta.png", "A 14714-2026")</f>
        <v/>
      </c>
      <c r="Y90">
        <f>HYPERLINK("https://klasma.github.io/Logging_2180/kartor_geotiff/A 14714-2026 georefererad karta.tif", "A 14714-2026")</f>
        <v/>
      </c>
      <c r="AA90">
        <f>HYPERLINK("https://klasma.github.io/Logging_2180/klagomål/A 14714-2026 FSC-klagomål.docx", "A 14714-2026")</f>
        <v/>
      </c>
      <c r="AB90">
        <f>HYPERLINK("https://klasma.github.io/Logging_2180/klagomålsmail/A 14714-2026 FSC-klagomål mail.docx", "A 14714-2026")</f>
        <v/>
      </c>
      <c r="AC90">
        <f>HYPERLINK("https://klasma.github.io/Logging_2180/tillsyn/A 14714-2026 tillsynsbegäran.docx", "A 14714-2026")</f>
        <v/>
      </c>
      <c r="AD90">
        <f>HYPERLINK("https://klasma.github.io/Logging_2180/tillsynsmail/A 14714-2026 tillsynsbegäran mail.docx", "A 14714-2026")</f>
        <v/>
      </c>
      <c r="AE90">
        <f>HYPERLINK("https://klasma.github.io/Logging_2180/fåglar/A 14714-2026 prioriterade fågelarter.docx", "A 14714-2026")</f>
        <v/>
      </c>
    </row>
    <row r="91" ht="15" customHeight="1">
      <c r="A91" t="inlineStr">
        <is>
          <t>A 14711-2026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46230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1.2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Blanksvart spiklav</t>
        </is>
      </c>
      <c r="W91">
        <f>HYPERLINK("https://klasma.github.io/Logging_2180/artfynd/A 14711-2026 artfynd.xlsx", "A 14711-2026")</f>
        <v/>
      </c>
      <c r="X91">
        <f>HYPERLINK("https://klasma.github.io/Logging_2180/kartor/A 14711-2026 karta.png", "A 14711-2026")</f>
        <v/>
      </c>
      <c r="Y91">
        <f>HYPERLINK("https://klasma.github.io/Logging_2180/kartor_geotiff/A 14711-2026 georefererad karta.tif", "A 14711-2026")</f>
        <v/>
      </c>
      <c r="AA91">
        <f>HYPERLINK("https://klasma.github.io/Logging_2180/klagomål/A 14711-2026 FSC-klagomål.docx", "A 14711-2026")</f>
        <v/>
      </c>
      <c r="AB91">
        <f>HYPERLINK("https://klasma.github.io/Logging_2180/klagomålsmail/A 14711-2026 FSC-klagomål mail.docx", "A 14711-2026")</f>
        <v/>
      </c>
      <c r="AC91">
        <f>HYPERLINK("https://klasma.github.io/Logging_2180/tillsyn/A 14711-2026 tillsynsbegäran.docx", "A 14711-2026")</f>
        <v/>
      </c>
      <c r="AD91">
        <f>HYPERLINK("https://klasma.github.io/Logging_2180/tillsynsmail/A 14711-2026 tillsynsbegäran mail.docx", "A 14711-2026")</f>
        <v/>
      </c>
    </row>
    <row r="92" ht="15" customHeight="1">
      <c r="A92" t="inlineStr">
        <is>
          <t>A 10064-2025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46230</v>
      </c>
      <c r="F92" t="inlineStr">
        <is>
          <t>GÄVLEBORGS LÄN</t>
        </is>
      </c>
      <c r="G92" t="inlineStr">
        <is>
          <t>GÄVLE</t>
        </is>
      </c>
      <c r="I92" t="n">
        <v>4.6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HYPERLINK("https://klasma.github.io/Logging_2180/artfynd/A 10064-2025 artfynd.xlsx", "A 10064-2025")</f>
        <v/>
      </c>
      <c r="X92">
        <f>HYPERLINK("https://klasma.github.io/Logging_2180/kartor/A 10064-2025 karta.png", "A 10064-2025")</f>
        <v/>
      </c>
      <c r="Y92">
        <f>HYPERLINK("https://klasma.github.io/Logging_2180/kartor_geotiff/A 10064-2025 georefererad karta.tif", "A 10064-2025")</f>
        <v/>
      </c>
      <c r="AA92">
        <f>HYPERLINK("https://klasma.github.io/Logging_2180/klagomål/A 10064-2025 FSC-klagomål.docx", "A 10064-2025")</f>
        <v/>
      </c>
      <c r="AB92">
        <f>HYPERLINK("https://klasma.github.io/Logging_2180/klagomålsmail/A 10064-2025 FSC-klagomål mail.docx", "A 10064-2025")</f>
        <v/>
      </c>
      <c r="AC92">
        <f>HYPERLINK("https://klasma.github.io/Logging_2180/tillsyn/A 10064-2025 tillsynsbegäran.docx", "A 10064-2025")</f>
        <v/>
      </c>
      <c r="AD92">
        <f>HYPERLINK("https://klasma.github.io/Logging_2180/tillsynsmail/A 10064-2025 tillsynsbegäran mail.docx", "A 10064-2025")</f>
        <v/>
      </c>
    </row>
    <row r="93" ht="15" customHeight="1">
      <c r="A93" t="inlineStr">
        <is>
          <t>A 28875-2025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46230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43.3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Revlummer</t>
        </is>
      </c>
      <c r="W93">
        <f>HYPERLINK("https://klasma.github.io/Logging_2180/artfynd/A 28875-2025 artfynd.xlsx", "A 28875-2025")</f>
        <v/>
      </c>
      <c r="X93">
        <f>HYPERLINK("https://klasma.github.io/Logging_2180/kartor/A 28875-2025 karta.png", "A 28875-2025")</f>
        <v/>
      </c>
      <c r="Y93">
        <f>HYPERLINK("https://klasma.github.io/Logging_2180/kartor_geotiff/A 28875-2025 georefererad karta.tif", "A 28875-2025")</f>
        <v/>
      </c>
      <c r="AA93">
        <f>HYPERLINK("https://klasma.github.io/Logging_2180/klagomål/A 28875-2025 FSC-klagomål.docx", "A 28875-2025")</f>
        <v/>
      </c>
      <c r="AB93">
        <f>HYPERLINK("https://klasma.github.io/Logging_2180/klagomålsmail/A 28875-2025 FSC-klagomål mail.docx", "A 28875-2025")</f>
        <v/>
      </c>
      <c r="AC93">
        <f>HYPERLINK("https://klasma.github.io/Logging_2180/tillsyn/A 28875-2025 tillsynsbegäran.docx", "A 28875-2025")</f>
        <v/>
      </c>
      <c r="AD93">
        <f>HYPERLINK("https://klasma.github.io/Logging_2180/tillsynsmail/A 28875-2025 tillsynsbegäran mail.docx", "A 28875-2025")</f>
        <v/>
      </c>
    </row>
    <row r="94" ht="15" customHeight="1">
      <c r="A94" t="inlineStr">
        <is>
          <t>A 49393-2025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46230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49393-2025 artfynd.xlsx", "A 49393-2025")</f>
        <v/>
      </c>
      <c r="X94">
        <f>HYPERLINK("https://klasma.github.io/Logging_2180/kartor/A 49393-2025 karta.png", "A 49393-2025")</f>
        <v/>
      </c>
      <c r="Y94">
        <f>HYPERLINK("https://klasma.github.io/Logging_2180/kartor_geotiff/A 49393-2025 georefererad karta.tif", "A 49393-2025")</f>
        <v/>
      </c>
      <c r="AA94">
        <f>HYPERLINK("https://klasma.github.io/Logging_2180/klagomål/A 49393-2025 FSC-klagomål.docx", "A 49393-2025")</f>
        <v/>
      </c>
      <c r="AB94">
        <f>HYPERLINK("https://klasma.github.io/Logging_2180/klagomålsmail/A 49393-2025 FSC-klagomål mail.docx", "A 49393-2025")</f>
        <v/>
      </c>
      <c r="AC94">
        <f>HYPERLINK("https://klasma.github.io/Logging_2180/tillsyn/A 49393-2025 tillsynsbegäran.docx", "A 49393-2025")</f>
        <v/>
      </c>
      <c r="AD94">
        <f>HYPERLINK("https://klasma.github.io/Logging_2180/tillsynsmail/A 49393-2025 tillsynsbegäran mail.docx", "A 49393-2025")</f>
        <v/>
      </c>
    </row>
    <row r="95" ht="15" customHeight="1">
      <c r="A95" t="inlineStr">
        <is>
          <t>A 20734-2026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46230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HYPERLINK("https://klasma.github.io/Logging_2180/artfynd/A 20734-2026 artfynd.xlsx", "A 20734-2026")</f>
        <v/>
      </c>
      <c r="X95">
        <f>HYPERLINK("https://klasma.github.io/Logging_2180/kartor/A 20734-2026 karta.png", "A 20734-2026")</f>
        <v/>
      </c>
      <c r="Y95">
        <f>HYPERLINK("https://klasma.github.io/Logging_2180/kartor_geotiff/A 20734-2026 georefererad karta.tif", "A 20734-2026")</f>
        <v/>
      </c>
      <c r="AA95">
        <f>HYPERLINK("https://klasma.github.io/Logging_2180/klagomål/A 20734-2026 FSC-klagomål.docx", "A 20734-2026")</f>
        <v/>
      </c>
      <c r="AB95">
        <f>HYPERLINK("https://klasma.github.io/Logging_2180/klagomålsmail/A 20734-2026 FSC-klagomål mail.docx", "A 20734-2026")</f>
        <v/>
      </c>
      <c r="AC95">
        <f>HYPERLINK("https://klasma.github.io/Logging_2180/tillsyn/A 20734-2026 tillsynsbegäran.docx", "A 20734-2026")</f>
        <v/>
      </c>
      <c r="AD95">
        <f>HYPERLINK("https://klasma.github.io/Logging_2180/tillsynsmail/A 20734-2026 tillsynsbegäran mail.docx", "A 20734-2026")</f>
        <v/>
      </c>
    </row>
    <row r="96" ht="15" customHeight="1">
      <c r="A96" t="inlineStr">
        <is>
          <t>A 63036-2023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46230</v>
      </c>
      <c r="F96" t="inlineStr">
        <is>
          <t>GÄVLEBORGS LÄN</t>
        </is>
      </c>
      <c r="G96" t="inlineStr">
        <is>
          <t>GÄVLE</t>
        </is>
      </c>
      <c r="I96" t="n">
        <v>12.7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HYPERLINK("https://klasma.github.io/Logging_2180/artfynd/A 63036-2023 artfynd.xlsx", "A 63036-2023")</f>
        <v/>
      </c>
      <c r="X96">
        <f>HYPERLINK("https://klasma.github.io/Logging_2180/kartor/A 63036-2023 karta.png", "A 63036-2023")</f>
        <v/>
      </c>
      <c r="Y96">
        <f>HYPERLINK("https://klasma.github.io/Logging_2180/kartor_geotiff/A 63036-2023 georefererad karta.tif", "A 63036-2023")</f>
        <v/>
      </c>
      <c r="AA96">
        <f>HYPERLINK("https://klasma.github.io/Logging_2180/klagomål/A 63036-2023 FSC-klagomål.docx", "A 63036-2023")</f>
        <v/>
      </c>
      <c r="AB96">
        <f>HYPERLINK("https://klasma.github.io/Logging_2180/klagomålsmail/A 63036-2023 FSC-klagomål mail.docx", "A 63036-2023")</f>
        <v/>
      </c>
      <c r="AC96">
        <f>HYPERLINK("https://klasma.github.io/Logging_2180/tillsyn/A 63036-2023 tillsynsbegäran.docx", "A 63036-2023")</f>
        <v/>
      </c>
      <c r="AD96">
        <f>HYPERLINK("https://klasma.github.io/Logging_2180/tillsynsmail/A 63036-2023 tillsynsbegäran mail.docx", "A 63036-2023")</f>
        <v/>
      </c>
    </row>
    <row r="97" ht="15" customHeight="1">
      <c r="A97" t="inlineStr">
        <is>
          <t>A 14703-2026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46230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2.8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HYPERLINK("https://klasma.github.io/Logging_2180/artfynd/A 14703-2026 artfynd.xlsx", "A 14703-2026")</f>
        <v/>
      </c>
      <c r="X97">
        <f>HYPERLINK("https://klasma.github.io/Logging_2180/kartor/A 14703-2026 karta.png", "A 14703-2026")</f>
        <v/>
      </c>
      <c r="Y97">
        <f>HYPERLINK("https://klasma.github.io/Logging_2180/kartor_geotiff/A 14703-2026 georefererad karta.tif", "A 14703-2026")</f>
        <v/>
      </c>
      <c r="AA97">
        <f>HYPERLINK("https://klasma.github.io/Logging_2180/klagomål/A 14703-2026 FSC-klagomål.docx", "A 14703-2026")</f>
        <v/>
      </c>
      <c r="AB97">
        <f>HYPERLINK("https://klasma.github.io/Logging_2180/klagomålsmail/A 14703-2026 FSC-klagomål mail.docx", "A 14703-2026")</f>
        <v/>
      </c>
      <c r="AC97">
        <f>HYPERLINK("https://klasma.github.io/Logging_2180/tillsyn/A 14703-2026 tillsynsbegäran.docx", "A 14703-2026")</f>
        <v/>
      </c>
      <c r="AD97">
        <f>HYPERLINK("https://klasma.github.io/Logging_2180/tillsynsmail/A 14703-2026 tillsynsbegäran mail.docx", "A 14703-2026")</f>
        <v/>
      </c>
      <c r="AE97">
        <f>HYPERLINK("https://klasma.github.io/Logging_2180/fåglar/A 14703-2026 prioriterade fågelarter.docx", "A 14703-2026")</f>
        <v/>
      </c>
    </row>
    <row r="98" ht="15" customHeight="1">
      <c r="A98" t="inlineStr">
        <is>
          <t>A 54252-2025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46230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HYPERLINK("https://klasma.github.io/Logging_2180/artfynd/A 54252-2025 artfynd.xlsx", "A 54252-2025")</f>
        <v/>
      </c>
      <c r="X98">
        <f>HYPERLINK("https://klasma.github.io/Logging_2180/kartor/A 54252-2025 karta.png", "A 54252-2025")</f>
        <v/>
      </c>
      <c r="Y98">
        <f>HYPERLINK("https://klasma.github.io/Logging_2180/kartor_geotiff/A 54252-2025 georefererad karta.tif", "A 54252-2025")</f>
        <v/>
      </c>
      <c r="AA98">
        <f>HYPERLINK("https://klasma.github.io/Logging_2180/klagomål/A 54252-2025 FSC-klagomål.docx", "A 54252-2025")</f>
        <v/>
      </c>
      <c r="AB98">
        <f>HYPERLINK("https://klasma.github.io/Logging_2180/klagomålsmail/A 54252-2025 FSC-klagomål mail.docx", "A 54252-2025")</f>
        <v/>
      </c>
      <c r="AC98">
        <f>HYPERLINK("https://klasma.github.io/Logging_2180/tillsyn/A 54252-2025 tillsynsbegäran.docx", "A 54252-2025")</f>
        <v/>
      </c>
      <c r="AD98">
        <f>HYPERLINK("https://klasma.github.io/Logging_2180/tillsynsmail/A 54252-2025 tillsynsbegäran mail.docx", "A 54252-2025")</f>
        <v/>
      </c>
    </row>
    <row r="99" ht="15" customHeight="1">
      <c r="A99" t="inlineStr">
        <is>
          <t>A 54963-2025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46230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7.9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Revlummer</t>
        </is>
      </c>
      <c r="W99">
        <f>HYPERLINK("https://klasma.github.io/Logging_2180/artfynd/A 54963-2025 artfynd.xlsx", "A 54963-2025")</f>
        <v/>
      </c>
      <c r="X99">
        <f>HYPERLINK("https://klasma.github.io/Logging_2180/kartor/A 54963-2025 karta.png", "A 54963-2025")</f>
        <v/>
      </c>
      <c r="Y99">
        <f>HYPERLINK("https://klasma.github.io/Logging_2180/kartor_geotiff/A 54963-2025 georefererad karta.tif", "A 54963-2025")</f>
        <v/>
      </c>
      <c r="AA99">
        <f>HYPERLINK("https://klasma.github.io/Logging_2180/klagomål/A 54963-2025 FSC-klagomål.docx", "A 54963-2025")</f>
        <v/>
      </c>
      <c r="AB99">
        <f>HYPERLINK("https://klasma.github.io/Logging_2180/klagomålsmail/A 54963-2025 FSC-klagomål mail.docx", "A 54963-2025")</f>
        <v/>
      </c>
      <c r="AC99">
        <f>HYPERLINK("https://klasma.github.io/Logging_2180/tillsyn/A 54963-2025 tillsynsbegäran.docx", "A 54963-2025")</f>
        <v/>
      </c>
      <c r="AD99">
        <f>HYPERLINK("https://klasma.github.io/Logging_2180/tillsynsmail/A 54963-2025 tillsynsbegäran mail.docx", "A 54963-2025")</f>
        <v/>
      </c>
    </row>
    <row r="100" ht="15" customHeight="1">
      <c r="A100" t="inlineStr">
        <is>
          <t>A 13269-2026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46230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HYPERLINK("https://klasma.github.io/Logging_2180/artfynd/A 13269-2026 artfynd.xlsx", "A 13269-2026")</f>
        <v/>
      </c>
      <c r="X100">
        <f>HYPERLINK("https://klasma.github.io/Logging_2180/kartor/A 13269-2026 karta.png", "A 13269-2026")</f>
        <v/>
      </c>
      <c r="Y100">
        <f>HYPERLINK("https://klasma.github.io/Logging_2180/kartor_geotiff/A 13269-2026 georefererad karta.tif", "A 13269-2026")</f>
        <v/>
      </c>
      <c r="AA100">
        <f>HYPERLINK("https://klasma.github.io/Logging_2180/klagomål/A 13269-2026 FSC-klagomål.docx", "A 13269-2026")</f>
        <v/>
      </c>
      <c r="AB100">
        <f>HYPERLINK("https://klasma.github.io/Logging_2180/klagomålsmail/A 13269-2026 FSC-klagomål mail.docx", "A 13269-2026")</f>
        <v/>
      </c>
      <c r="AC100">
        <f>HYPERLINK("https://klasma.github.io/Logging_2180/tillsyn/A 13269-2026 tillsynsbegäran.docx", "A 13269-2026")</f>
        <v/>
      </c>
      <c r="AD100">
        <f>HYPERLINK("https://klasma.github.io/Logging_2180/tillsynsmail/A 13269-2026 tillsynsbegäran mail.docx", "A 13269-2026")</f>
        <v/>
      </c>
      <c r="AE100">
        <f>HYPERLINK("https://klasma.github.io/Logging_2180/fåglar/A 13269-2026 prioriterade fågelarter.docx", "A 13269-2026")</f>
        <v/>
      </c>
    </row>
    <row r="101" ht="15" customHeight="1">
      <c r="A101" t="inlineStr">
        <is>
          <t>A 51508-2024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45604</v>
      </c>
      <c r="E101" s="1" t="n">
        <v>46230</v>
      </c>
      <c r="F101" t="inlineStr">
        <is>
          <t>GÄVLEBORGS LÄN</t>
        </is>
      </c>
      <c r="G101" t="inlineStr">
        <is>
          <t>GÄVLE</t>
        </is>
      </c>
      <c r="I101" t="n">
        <v>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Tibast</t>
        </is>
      </c>
      <c r="W101">
        <f>HYPERLINK("https://klasma.github.io/Logging_2180/artfynd/A 51508-2024 artfynd.xlsx", "A 51508-2024")</f>
        <v/>
      </c>
      <c r="X101">
        <f>HYPERLINK("https://klasma.github.io/Logging_2180/kartor/A 51508-2024 karta.png", "A 51508-2024")</f>
        <v/>
      </c>
      <c r="Y101">
        <f>HYPERLINK("https://klasma.github.io/Logging_2180/kartor_geotiff/A 51508-2024 georefererad karta.tif", "A 51508-2024")</f>
        <v/>
      </c>
      <c r="AA101">
        <f>HYPERLINK("https://klasma.github.io/Logging_2180/klagomål/A 51508-2024 FSC-klagomål.docx", "A 51508-2024")</f>
        <v/>
      </c>
      <c r="AB101">
        <f>HYPERLINK("https://klasma.github.io/Logging_2180/klagomålsmail/A 51508-2024 FSC-klagomål mail.docx", "A 51508-2024")</f>
        <v/>
      </c>
      <c r="AC101">
        <f>HYPERLINK("https://klasma.github.io/Logging_2180/tillsyn/A 51508-2024 tillsynsbegäran.docx", "A 51508-2024")</f>
        <v/>
      </c>
      <c r="AD101">
        <f>HYPERLINK("https://klasma.github.io/Logging_2180/tillsynsmail/A 51508-2024 tillsynsbegäran mail.docx", "A 51508-2024")</f>
        <v/>
      </c>
    </row>
    <row r="102" ht="15" customHeight="1">
      <c r="A102" t="inlineStr">
        <is>
          <t>A 22052-2026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46230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Gullpudra</t>
        </is>
      </c>
      <c r="W102">
        <f>HYPERLINK("https://klasma.github.io/Logging_2180/artfynd/A 22052-2026 artfynd.xlsx", "A 22052-2026")</f>
        <v/>
      </c>
      <c r="X102">
        <f>HYPERLINK("https://klasma.github.io/Logging_2180/kartor/A 22052-2026 karta.png", "A 22052-2026")</f>
        <v/>
      </c>
      <c r="Y102">
        <f>HYPERLINK("https://klasma.github.io/Logging_2180/kartor_geotiff/A 22052-2026 georefererad karta.tif", "A 22052-2026")</f>
        <v/>
      </c>
      <c r="AA102">
        <f>HYPERLINK("https://klasma.github.io/Logging_2180/klagomål/A 22052-2026 FSC-klagomål.docx", "A 22052-2026")</f>
        <v/>
      </c>
      <c r="AB102">
        <f>HYPERLINK("https://klasma.github.io/Logging_2180/klagomålsmail/A 22052-2026 FSC-klagomål mail.docx", "A 22052-2026")</f>
        <v/>
      </c>
      <c r="AC102">
        <f>HYPERLINK("https://klasma.github.io/Logging_2180/tillsyn/A 22052-2026 tillsynsbegäran.docx", "A 22052-2026")</f>
        <v/>
      </c>
      <c r="AD102">
        <f>HYPERLINK("https://klasma.github.io/Logging_2180/tillsynsmail/A 22052-2026 tillsynsbegäran mail.docx", "A 22052-2026")</f>
        <v/>
      </c>
    </row>
    <row r="103" ht="15" customHeight="1">
      <c r="A103" t="inlineStr">
        <is>
          <t>A 58204-2025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45984</v>
      </c>
      <c r="E103" s="1" t="n">
        <v>46230</v>
      </c>
      <c r="F103" t="inlineStr">
        <is>
          <t>GÄVLEBORGS LÄN</t>
        </is>
      </c>
      <c r="G103" t="inlineStr">
        <is>
          <t>GÄVLE</t>
        </is>
      </c>
      <c r="I103" t="n">
        <v>4.4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HYPERLINK("https://klasma.github.io/Logging_2180/artfynd/A 58204-2025 artfynd.xlsx", "A 58204-2025")</f>
        <v/>
      </c>
      <c r="X103">
        <f>HYPERLINK("https://klasma.github.io/Logging_2180/kartor/A 58204-2025 karta.png", "A 58204-2025")</f>
        <v/>
      </c>
      <c r="Y103">
        <f>HYPERLINK("https://klasma.github.io/Logging_2180/kartor_geotiff/A 58204-2025 georefererad karta.tif", "A 58204-2025")</f>
        <v/>
      </c>
      <c r="AA103">
        <f>HYPERLINK("https://klasma.github.io/Logging_2180/klagomål/A 58204-2025 FSC-klagomål.docx", "A 58204-2025")</f>
        <v/>
      </c>
      <c r="AB103">
        <f>HYPERLINK("https://klasma.github.io/Logging_2180/klagomålsmail/A 58204-2025 FSC-klagomål mail.docx", "A 58204-2025")</f>
        <v/>
      </c>
      <c r="AC103">
        <f>HYPERLINK("https://klasma.github.io/Logging_2180/tillsyn/A 58204-2025 tillsynsbegäran.docx", "A 58204-2025")</f>
        <v/>
      </c>
      <c r="AD103">
        <f>HYPERLINK("https://klasma.github.io/Logging_2180/tillsynsmail/A 58204-2025 tillsynsbegäran mail.docx", "A 58204-2025")</f>
        <v/>
      </c>
      <c r="AE103">
        <f>HYPERLINK("https://klasma.github.io/Logging_2180/fåglar/A 58204-2025 prioriterade fågelarter.docx", "A 58204-2025")</f>
        <v/>
      </c>
    </row>
    <row r="104" ht="15" customHeight="1">
      <c r="A104" t="inlineStr">
        <is>
          <t>A 28546-2026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46197</v>
      </c>
      <c r="E104" s="1" t="n">
        <v>46230</v>
      </c>
      <c r="F104" t="inlineStr">
        <is>
          <t>GÄVLEBORGS LÄN</t>
        </is>
      </c>
      <c r="G104" t="inlineStr">
        <is>
          <t>GÄVLE</t>
        </is>
      </c>
      <c r="H104" t="inlineStr">
        <is>
          <t>BillerudKorsnäs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Fiskgjuse</t>
        </is>
      </c>
      <c r="W104">
        <f>HYPERLINK("https://klasma.github.io/Logging_2180/artfynd/A 28546-2026 artfynd.xlsx", "A 28546-2026")</f>
        <v/>
      </c>
      <c r="X104">
        <f>HYPERLINK("https://klasma.github.io/Logging_2180/kartor/A 28546-2026 karta.png", "A 28546-2026")</f>
        <v/>
      </c>
      <c r="Y104">
        <f>HYPERLINK("https://klasma.github.io/Logging_2180/kartor_geotiff/A 28546-2026 georefererad karta.tif", "A 28546-2026")</f>
        <v/>
      </c>
      <c r="AA104">
        <f>HYPERLINK("https://klasma.github.io/Logging_2180/klagomål/A 28546-2026 FSC-klagomål.docx", "A 28546-2026")</f>
        <v/>
      </c>
      <c r="AB104">
        <f>HYPERLINK("https://klasma.github.io/Logging_2180/klagomålsmail/A 28546-2026 FSC-klagomål mail.docx", "A 28546-2026")</f>
        <v/>
      </c>
      <c r="AC104">
        <f>HYPERLINK("https://klasma.github.io/Logging_2180/tillsyn/A 28546-2026 tillsynsbegäran.docx", "A 28546-2026")</f>
        <v/>
      </c>
      <c r="AD104">
        <f>HYPERLINK("https://klasma.github.io/Logging_2180/tillsynsmail/A 28546-2026 tillsynsbegäran mail.docx", "A 28546-2026")</f>
        <v/>
      </c>
      <c r="AE104">
        <f>HYPERLINK("https://klasma.github.io/Logging_2180/fåglar/A 28546-2026 prioriterade fågelarter.docx", "A 28546-2026")</f>
        <v/>
      </c>
    </row>
    <row r="105" ht="15" customHeight="1">
      <c r="A105" t="inlineStr">
        <is>
          <t>A 12437-2024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45379</v>
      </c>
      <c r="E105" s="1" t="n">
        <v>46230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HYPERLINK("https://klasma.github.io/Logging_2180/artfynd/A 12437-2024 artfynd.xlsx", "A 12437-2024")</f>
        <v/>
      </c>
      <c r="X105">
        <f>HYPERLINK("https://klasma.github.io/Logging_2180/kartor/A 12437-2024 karta.png", "A 12437-2024")</f>
        <v/>
      </c>
      <c r="Y105">
        <f>HYPERLINK("https://klasma.github.io/Logging_2180/kartor_geotiff/A 12437-2024 georefererad karta.tif", "A 12437-2024")</f>
        <v/>
      </c>
      <c r="AA105">
        <f>HYPERLINK("https://klasma.github.io/Logging_2180/klagomål/A 12437-2024 FSC-klagomål.docx", "A 12437-2024")</f>
        <v/>
      </c>
      <c r="AB105">
        <f>HYPERLINK("https://klasma.github.io/Logging_2180/klagomålsmail/A 12437-2024 FSC-klagomål mail.docx", "A 12437-2024")</f>
        <v/>
      </c>
      <c r="AC105">
        <f>HYPERLINK("https://klasma.github.io/Logging_2180/tillsyn/A 12437-2024 tillsynsbegäran.docx", "A 12437-2024")</f>
        <v/>
      </c>
      <c r="AD105">
        <f>HYPERLINK("https://klasma.github.io/Logging_2180/tillsynsmail/A 12437-2024 tillsynsbegäran mail.docx", "A 12437-2024")</f>
        <v/>
      </c>
    </row>
    <row r="106" ht="15" customHeight="1">
      <c r="A106" t="inlineStr">
        <is>
          <t>A 10333-2025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46230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2</v>
      </c>
      <c r="V106" s="2" t="inlineStr">
        <is>
          <t>Tjäder</t>
        </is>
      </c>
      <c r="W106">
        <f>HYPERLINK("https://klasma.github.io/Logging_2180/artfynd/A 10333-2025 artfynd.xlsx", "A 10333-2025")</f>
        <v/>
      </c>
      <c r="X106">
        <f>HYPERLINK("https://klasma.github.io/Logging_2180/kartor/A 10333-2025 karta.png", "A 10333-2025")</f>
        <v/>
      </c>
      <c r="Y106">
        <f>HYPERLINK("https://klasma.github.io/Logging_2180/kartor_geotiff/A 10333-2025 georefererad karta.tif", "A 10333-2025")</f>
        <v/>
      </c>
      <c r="AA106">
        <f>HYPERLINK("https://klasma.github.io/Logging_2180/klagomål/A 10333-2025 FSC-klagomål.docx", "A 10333-2025")</f>
        <v/>
      </c>
      <c r="AB106">
        <f>HYPERLINK("https://klasma.github.io/Logging_2180/klagomålsmail/A 10333-2025 FSC-klagomål mail.docx", "A 10333-2025")</f>
        <v/>
      </c>
      <c r="AC106">
        <f>HYPERLINK("https://klasma.github.io/Logging_2180/tillsyn/A 10333-2025 tillsynsbegäran.docx", "A 10333-2025")</f>
        <v/>
      </c>
      <c r="AD106">
        <f>HYPERLINK("https://klasma.github.io/Logging_2180/tillsynsmail/A 10333-2025 tillsynsbegäran mail.docx", "A 10333-2025")</f>
        <v/>
      </c>
      <c r="AE106">
        <f>HYPERLINK("https://klasma.github.io/Logging_2180/fåglar/A 10333-2025 prioriterade fågelarter.docx", "A 10333-2025")</f>
        <v/>
      </c>
    </row>
    <row r="107" ht="15" customHeight="1">
      <c r="A107" t="inlineStr">
        <is>
          <t>A 22892-2026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46230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22892-2026 artfynd.xlsx", "A 22892-2026")</f>
        <v/>
      </c>
      <c r="X107">
        <f>HYPERLINK("https://klasma.github.io/Logging_2180/kartor/A 22892-2026 karta.png", "A 22892-2026")</f>
        <v/>
      </c>
      <c r="Y107">
        <f>HYPERLINK("https://klasma.github.io/Logging_2180/kartor_geotiff/A 22892-2026 georefererad karta.tif", "A 22892-2026")</f>
        <v/>
      </c>
      <c r="AA107">
        <f>HYPERLINK("https://klasma.github.io/Logging_2180/klagomål/A 22892-2026 FSC-klagomål.docx", "A 22892-2026")</f>
        <v/>
      </c>
      <c r="AB107">
        <f>HYPERLINK("https://klasma.github.io/Logging_2180/klagomålsmail/A 22892-2026 FSC-klagomål mail.docx", "A 22892-2026")</f>
        <v/>
      </c>
      <c r="AC107">
        <f>HYPERLINK("https://klasma.github.io/Logging_2180/tillsyn/A 22892-2026 tillsynsbegäran.docx", "A 22892-2026")</f>
        <v/>
      </c>
      <c r="AD107">
        <f>HYPERLINK("https://klasma.github.io/Logging_2180/tillsynsmail/A 22892-2026 tillsynsbegäran mail.docx", "A 22892-2026")</f>
        <v/>
      </c>
      <c r="AE107">
        <f>HYPERLINK("https://klasma.github.io/Logging_2180/fåglar/A 22892-2026 prioriterade fågelarter.docx", "A 22892-2026")</f>
        <v/>
      </c>
    </row>
    <row r="108" ht="15" customHeight="1">
      <c r="A108" t="inlineStr">
        <is>
          <t>A 23003-2026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46230</v>
      </c>
      <c r="F108" t="inlineStr">
        <is>
          <t>GÄVLEBORGS LÄN</t>
        </is>
      </c>
      <c r="G108" t="inlineStr">
        <is>
          <t>GÄVLE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23003-2026 artfynd.xlsx", "A 23003-2026")</f>
        <v/>
      </c>
      <c r="X108">
        <f>HYPERLINK("https://klasma.github.io/Logging_2180/kartor/A 23003-2026 karta.png", "A 23003-2026")</f>
        <v/>
      </c>
      <c r="Y108">
        <f>HYPERLINK("https://klasma.github.io/Logging_2180/kartor_geotiff/A 23003-2026 georefererad karta.tif", "A 23003-2026")</f>
        <v/>
      </c>
      <c r="AA108">
        <f>HYPERLINK("https://klasma.github.io/Logging_2180/klagomål/A 23003-2026 FSC-klagomål.docx", "A 23003-2026")</f>
        <v/>
      </c>
      <c r="AB108">
        <f>HYPERLINK("https://klasma.github.io/Logging_2180/klagomålsmail/A 23003-2026 FSC-klagomål mail.docx", "A 23003-2026")</f>
        <v/>
      </c>
      <c r="AC108">
        <f>HYPERLINK("https://klasma.github.io/Logging_2180/tillsyn/A 23003-2026 tillsynsbegäran.docx", "A 23003-2026")</f>
        <v/>
      </c>
      <c r="AD108">
        <f>HYPERLINK("https://klasma.github.io/Logging_2180/tillsynsmail/A 23003-2026 tillsynsbegäran mail.docx", "A 23003-2026")</f>
        <v/>
      </c>
      <c r="AE108">
        <f>HYPERLINK("https://klasma.github.io/Logging_2180/fåglar/A 23003-2026 prioriterade fågelarter.docx", "A 23003-2026")</f>
        <v/>
      </c>
    </row>
    <row r="109" ht="15" customHeight="1">
      <c r="A109" t="inlineStr">
        <is>
          <t>A 12381-2023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46230</v>
      </c>
      <c r="F109" t="inlineStr">
        <is>
          <t>GÄVLEBORGS LÄN</t>
        </is>
      </c>
      <c r="G109" t="inlineStr">
        <is>
          <t>GÄVLE</t>
        </is>
      </c>
      <c r="I109" t="n">
        <v>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Brunlångöra</t>
        </is>
      </c>
      <c r="W109">
        <f>HYPERLINK("https://klasma.github.io/Logging_2180/artfynd/A 12381-2023 artfynd.xlsx", "A 12381-2023")</f>
        <v/>
      </c>
      <c r="X109">
        <f>HYPERLINK("https://klasma.github.io/Logging_2180/kartor/A 12381-2023 karta.png", "A 12381-2023")</f>
        <v/>
      </c>
      <c r="Y109">
        <f>HYPERLINK("https://klasma.github.io/Logging_2180/kartor_geotiff/A 12381-2023 georefererad karta.tif", "A 12381-2023")</f>
        <v/>
      </c>
      <c r="AA109">
        <f>HYPERLINK("https://klasma.github.io/Logging_2180/klagomål/A 12381-2023 FSC-klagomål.docx", "A 12381-2023")</f>
        <v/>
      </c>
      <c r="AB109">
        <f>HYPERLINK("https://klasma.github.io/Logging_2180/klagomålsmail/A 12381-2023 FSC-klagomål mail.docx", "A 12381-2023")</f>
        <v/>
      </c>
      <c r="AC109">
        <f>HYPERLINK("https://klasma.github.io/Logging_2180/tillsyn/A 12381-2023 tillsynsbegäran.docx", "A 12381-2023")</f>
        <v/>
      </c>
      <c r="AD109">
        <f>HYPERLINK("https://klasma.github.io/Logging_2180/tillsynsmail/A 12381-2023 tillsynsbegäran mail.docx", "A 12381-2023")</f>
        <v/>
      </c>
    </row>
    <row r="110" ht="15" customHeight="1">
      <c r="A110" t="inlineStr">
        <is>
          <t>A 21282-2024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46230</v>
      </c>
      <c r="F110" t="inlineStr">
        <is>
          <t>GÄVLEBORGS LÄN</t>
        </is>
      </c>
      <c r="G110" t="inlineStr">
        <is>
          <t>GÄVLE</t>
        </is>
      </c>
      <c r="I110" t="n">
        <v>7.4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1</v>
      </c>
      <c r="V110" s="2" t="inlineStr">
        <is>
          <t>Skogsklocka</t>
        </is>
      </c>
      <c r="W110">
        <f>HYPERLINK("https://klasma.github.io/Logging_2180/artfynd/A 21282-2024 artfynd.xlsx", "A 21282-2024")</f>
        <v/>
      </c>
      <c r="X110">
        <f>HYPERLINK("https://klasma.github.io/Logging_2180/kartor/A 21282-2024 karta.png", "A 21282-2024")</f>
        <v/>
      </c>
      <c r="Y110">
        <f>HYPERLINK("https://klasma.github.io/Logging_2180/kartor_geotiff/A 21282-2024 georefererad karta.tif", "A 21282-2024")</f>
        <v/>
      </c>
      <c r="AA110">
        <f>HYPERLINK("https://klasma.github.io/Logging_2180/klagomål/A 21282-2024 FSC-klagomål.docx", "A 21282-2024")</f>
        <v/>
      </c>
      <c r="AB110">
        <f>HYPERLINK("https://klasma.github.io/Logging_2180/klagomålsmail/A 21282-2024 FSC-klagomål mail.docx", "A 21282-2024")</f>
        <v/>
      </c>
      <c r="AC110">
        <f>HYPERLINK("https://klasma.github.io/Logging_2180/tillsyn/A 21282-2024 tillsynsbegäran.docx", "A 21282-2024")</f>
        <v/>
      </c>
      <c r="AD110">
        <f>HYPERLINK("https://klasma.github.io/Logging_2180/tillsynsmail/A 21282-2024 tillsynsbegäran mail.docx", "A 21282-2024")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46230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63288-2025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46230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5.3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Scharlakansskål</t>
        </is>
      </c>
      <c r="W112">
        <f>HYPERLINK("https://klasma.github.io/Logging_2180/artfynd/A 63288-2025 artfynd.xlsx", "A 63288-2025")</f>
        <v/>
      </c>
      <c r="X112">
        <f>HYPERLINK("https://klasma.github.io/Logging_2180/kartor/A 63288-2025 karta.png", "A 63288-2025")</f>
        <v/>
      </c>
      <c r="Y112">
        <f>HYPERLINK("https://klasma.github.io/Logging_2180/kartor_geotiff/A 63288-2025 georefererad karta.tif", "A 63288-2025")</f>
        <v/>
      </c>
      <c r="AA112">
        <f>HYPERLINK("https://klasma.github.io/Logging_2180/klagomål/A 63288-2025 FSC-klagomål.docx", "A 63288-2025")</f>
        <v/>
      </c>
      <c r="AB112">
        <f>HYPERLINK("https://klasma.github.io/Logging_2180/klagomålsmail/A 63288-2025 FSC-klagomål mail.docx", "A 63288-2025")</f>
        <v/>
      </c>
      <c r="AC112">
        <f>HYPERLINK("https://klasma.github.io/Logging_2180/tillsyn/A 63288-2025 tillsynsbegäran.docx", "A 63288-2025")</f>
        <v/>
      </c>
      <c r="AD112">
        <f>HYPERLINK("https://klasma.github.io/Logging_2180/tillsynsmail/A 63288-2025 tillsynsbegäran mail.docx", "A 63288-2025")</f>
        <v/>
      </c>
    </row>
    <row r="113" ht="15" customHeight="1">
      <c r="A113" t="inlineStr">
        <is>
          <t>A 50052-2025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45943</v>
      </c>
      <c r="E113" s="1" t="n">
        <v>46230</v>
      </c>
      <c r="F113" t="inlineStr">
        <is>
          <t>GÄVLEBORGS LÄN</t>
        </is>
      </c>
      <c r="G113" t="inlineStr">
        <is>
          <t>GÄVLE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Mosippa</t>
        </is>
      </c>
      <c r="W113">
        <f>HYPERLINK("https://klasma.github.io/Logging_2180/artfynd/A 50052-2025 artfynd.xlsx", "A 50052-2025")</f>
        <v/>
      </c>
      <c r="X113">
        <f>HYPERLINK("https://klasma.github.io/Logging_2180/kartor/A 50052-2025 karta.png", "A 50052-2025")</f>
        <v/>
      </c>
      <c r="Y113">
        <f>HYPERLINK("https://klasma.github.io/Logging_2180/kartor_geotiff/A 50052-2025 georefererad karta.tif", "A 50052-2025")</f>
        <v/>
      </c>
      <c r="AA113">
        <f>HYPERLINK("https://klasma.github.io/Logging_2180/klagomål/A 50052-2025 FSC-klagomål.docx", "A 50052-2025")</f>
        <v/>
      </c>
      <c r="AB113">
        <f>HYPERLINK("https://klasma.github.io/Logging_2180/klagomålsmail/A 50052-2025 FSC-klagomål mail.docx", "A 50052-2025")</f>
        <v/>
      </c>
      <c r="AC113">
        <f>HYPERLINK("https://klasma.github.io/Logging_2180/tillsyn/A 50052-2025 tillsynsbegäran.docx", "A 50052-2025")</f>
        <v/>
      </c>
      <c r="AD113">
        <f>HYPERLINK("https://klasma.github.io/Logging_2180/tillsynsmail/A 50052-2025 tillsynsbegäran mail.docx", "A 50052-2025")</f>
        <v/>
      </c>
    </row>
    <row r="114" ht="15" customHeight="1">
      <c r="A114" t="inlineStr">
        <is>
          <t>A 13684-2026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46097</v>
      </c>
      <c r="E114" s="1" t="n">
        <v>46230</v>
      </c>
      <c r="F114" t="inlineStr">
        <is>
          <t>GÄVLEBORGS LÄN</t>
        </is>
      </c>
      <c r="G114" t="inlineStr">
        <is>
          <t>GÄVLE</t>
        </is>
      </c>
      <c r="I114" t="n">
        <v>21.3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Igelkott</t>
        </is>
      </c>
      <c r="W114">
        <f>HYPERLINK("https://klasma.github.io/Logging_2180/artfynd/A 13684-2026 artfynd.xlsx", "A 13684-2026")</f>
        <v/>
      </c>
      <c r="X114">
        <f>HYPERLINK("https://klasma.github.io/Logging_2180/kartor/A 13684-2026 karta.png", "A 13684-2026")</f>
        <v/>
      </c>
      <c r="Y114">
        <f>HYPERLINK("https://klasma.github.io/Logging_2180/kartor_geotiff/A 13684-2026 georefererad karta.tif", "A 13684-2026")</f>
        <v/>
      </c>
      <c r="AA114">
        <f>HYPERLINK("https://klasma.github.io/Logging_2180/klagomål/A 13684-2026 FSC-klagomål.docx", "A 13684-2026")</f>
        <v/>
      </c>
      <c r="AB114">
        <f>HYPERLINK("https://klasma.github.io/Logging_2180/klagomålsmail/A 13684-2026 FSC-klagomål mail.docx", "A 13684-2026")</f>
        <v/>
      </c>
      <c r="AC114">
        <f>HYPERLINK("https://klasma.github.io/Logging_2180/tillsyn/A 13684-2026 tillsynsbegäran.docx", "A 13684-2026")</f>
        <v/>
      </c>
      <c r="AD114">
        <f>HYPERLINK("https://klasma.github.io/Logging_2180/tillsynsmail/A 13684-2026 tillsynsbegäran mail.docx", "A 13684-2026")</f>
        <v/>
      </c>
    </row>
    <row r="115" ht="15" customHeight="1">
      <c r="A115" t="inlineStr">
        <is>
          <t>A 11407-2025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46230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1.5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Myskmadra</t>
        </is>
      </c>
      <c r="W115">
        <f>HYPERLINK("https://klasma.github.io/Logging_2180/artfynd/A 11407-2025 artfynd.xlsx", "A 11407-2025")</f>
        <v/>
      </c>
      <c r="X115">
        <f>HYPERLINK("https://klasma.github.io/Logging_2180/kartor/A 11407-2025 karta.png", "A 11407-2025")</f>
        <v/>
      </c>
      <c r="Y115">
        <f>HYPERLINK("https://klasma.github.io/Logging_2180/kartor_geotiff/A 11407-2025 georefererad karta.tif", "A 11407-2025")</f>
        <v/>
      </c>
      <c r="AA115">
        <f>HYPERLINK("https://klasma.github.io/Logging_2180/klagomål/A 11407-2025 FSC-klagomål.docx", "A 11407-2025")</f>
        <v/>
      </c>
      <c r="AB115">
        <f>HYPERLINK("https://klasma.github.io/Logging_2180/klagomålsmail/A 11407-2025 FSC-klagomål mail.docx", "A 11407-2025")</f>
        <v/>
      </c>
      <c r="AC115">
        <f>HYPERLINK("https://klasma.github.io/Logging_2180/tillsyn/A 11407-2025 tillsynsbegäran.docx", "A 11407-2025")</f>
        <v/>
      </c>
      <c r="AD115">
        <f>HYPERLINK("https://klasma.github.io/Logging_2180/tillsynsmail/A 11407-2025 tillsynsbegäran mail.docx", "A 11407-2025")</f>
        <v/>
      </c>
    </row>
    <row r="116" ht="15" customHeight="1">
      <c r="A116" t="inlineStr">
        <is>
          <t>A 17251-2026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46119</v>
      </c>
      <c r="E116" s="1" t="n">
        <v>46230</v>
      </c>
      <c r="F116" t="inlineStr">
        <is>
          <t>GÄVLEBORGS LÄN</t>
        </is>
      </c>
      <c r="G116" t="inlineStr">
        <is>
          <t>GÄVLE</t>
        </is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17251-2026 artfynd.xlsx", "A 17251-2026")</f>
        <v/>
      </c>
      <c r="X116">
        <f>HYPERLINK("https://klasma.github.io/Logging_2180/kartor/A 17251-2026 karta.png", "A 17251-2026")</f>
        <v/>
      </c>
      <c r="Y116">
        <f>HYPERLINK("https://klasma.github.io/Logging_2180/kartor_geotiff/A 17251-2026 georefererad karta.tif", "A 17251-2026")</f>
        <v/>
      </c>
      <c r="AA116">
        <f>HYPERLINK("https://klasma.github.io/Logging_2180/klagomål/A 17251-2026 FSC-klagomål.docx", "A 17251-2026")</f>
        <v/>
      </c>
      <c r="AB116">
        <f>HYPERLINK("https://klasma.github.io/Logging_2180/klagomålsmail/A 17251-2026 FSC-klagomål mail.docx", "A 17251-2026")</f>
        <v/>
      </c>
      <c r="AC116">
        <f>HYPERLINK("https://klasma.github.io/Logging_2180/tillsyn/A 17251-2026 tillsynsbegäran.docx", "A 17251-2026")</f>
        <v/>
      </c>
      <c r="AD116">
        <f>HYPERLINK("https://klasma.github.io/Logging_2180/tillsynsmail/A 17251-2026 tillsynsbegäran mail.docx", "A 17251-2026")</f>
        <v/>
      </c>
    </row>
    <row r="117" ht="15" customHeight="1">
      <c r="A117" t="inlineStr">
        <is>
          <t>A 31448-2026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46217</v>
      </c>
      <c r="E117" s="1" t="n">
        <v>46230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tåtelsmygare</t>
        </is>
      </c>
      <c r="W117">
        <f>HYPERLINK("https://klasma.github.io/Logging_2180/artfynd/A 31448-2026 artfynd.xlsx", "A 31448-2026")</f>
        <v/>
      </c>
      <c r="X117">
        <f>HYPERLINK("https://klasma.github.io/Logging_2180/kartor/A 31448-2026 karta.png", "A 31448-2026")</f>
        <v/>
      </c>
      <c r="Y117">
        <f>HYPERLINK("https://klasma.github.io/Logging_2180/kartor_geotiff/A 31448-2026 georefererad karta.tif", "A 31448-2026")</f>
        <v/>
      </c>
      <c r="AA117">
        <f>HYPERLINK("https://klasma.github.io/Logging_2180/klagomål/A 31448-2026 FSC-klagomål.docx", "A 31448-2026")</f>
        <v/>
      </c>
      <c r="AB117">
        <f>HYPERLINK("https://klasma.github.io/Logging_2180/klagomålsmail/A 31448-2026 FSC-klagomål mail.docx", "A 31448-2026")</f>
        <v/>
      </c>
      <c r="AC117">
        <f>HYPERLINK("https://klasma.github.io/Logging_2180/tillsyn/A 31448-2026 tillsynsbegäran.docx", "A 31448-2026")</f>
        <v/>
      </c>
      <c r="AD117">
        <f>HYPERLINK("https://klasma.github.io/Logging_2180/tillsynsmail/A 31448-2026 tillsynsbegäran mail.docx", "A 31448-2026")</f>
        <v/>
      </c>
    </row>
    <row r="118" ht="15" customHeight="1">
      <c r="A118" t="inlineStr">
        <is>
          <t>A 18060-2026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46230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24.4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HYPERLINK("https://klasma.github.io/Logging_2180/artfynd/A 18060-2026 artfynd.xlsx", "A 18060-2026")</f>
        <v/>
      </c>
      <c r="X118">
        <f>HYPERLINK("https://klasma.github.io/Logging_2180/kartor/A 18060-2026 karta.png", "A 18060-2026")</f>
        <v/>
      </c>
      <c r="Y118">
        <f>HYPERLINK("https://klasma.github.io/Logging_2180/kartor_geotiff/A 18060-2026 georefererad karta.tif", "A 18060-2026")</f>
        <v/>
      </c>
      <c r="AA118">
        <f>HYPERLINK("https://klasma.github.io/Logging_2180/klagomål/A 18060-2026 FSC-klagomål.docx", "A 18060-2026")</f>
        <v/>
      </c>
      <c r="AB118">
        <f>HYPERLINK("https://klasma.github.io/Logging_2180/klagomålsmail/A 18060-2026 FSC-klagomål mail.docx", "A 18060-2026")</f>
        <v/>
      </c>
      <c r="AC118">
        <f>HYPERLINK("https://klasma.github.io/Logging_2180/tillsyn/A 18060-2026 tillsynsbegäran.docx", "A 18060-2026")</f>
        <v/>
      </c>
      <c r="AD118">
        <f>HYPERLINK("https://klasma.github.io/Logging_2180/tillsynsmail/A 18060-2026 tillsynsbegäran mail.docx", "A 18060-2026")</f>
        <v/>
      </c>
    </row>
    <row r="119" ht="15" customHeight="1">
      <c r="A119" t="inlineStr">
        <is>
          <t>A 19635-2026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46230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Skinnlav</t>
        </is>
      </c>
      <c r="W119">
        <f>HYPERLINK("https://klasma.github.io/Logging_2180/artfynd/A 19635-2026 artfynd.xlsx", "A 19635-2026")</f>
        <v/>
      </c>
      <c r="X119">
        <f>HYPERLINK("https://klasma.github.io/Logging_2180/kartor/A 19635-2026 karta.png", "A 19635-2026")</f>
        <v/>
      </c>
      <c r="Y119">
        <f>HYPERLINK("https://klasma.github.io/Logging_2180/kartor_geotiff/A 19635-2026 georefererad karta.tif", "A 19635-2026")</f>
        <v/>
      </c>
      <c r="AA119">
        <f>HYPERLINK("https://klasma.github.io/Logging_2180/klagomål/A 19635-2026 FSC-klagomål.docx", "A 19635-2026")</f>
        <v/>
      </c>
      <c r="AB119">
        <f>HYPERLINK("https://klasma.github.io/Logging_2180/klagomålsmail/A 19635-2026 FSC-klagomål mail.docx", "A 19635-2026")</f>
        <v/>
      </c>
      <c r="AC119">
        <f>HYPERLINK("https://klasma.github.io/Logging_2180/tillsyn/A 19635-2026 tillsynsbegäran.docx", "A 19635-2026")</f>
        <v/>
      </c>
      <c r="AD119">
        <f>HYPERLINK("https://klasma.github.io/Logging_2180/tillsynsmail/A 19635-2026 tillsynsbegäran mail.docx", "A 19635-2026")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46230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46230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46230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46230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18216-2024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46230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Dofttaggsvamp</t>
        </is>
      </c>
      <c r="W124">
        <f>HYPERLINK("https://klasma.github.io/Logging_2180/artfynd/A 18216-2024 artfynd.xlsx", "A 18216-2024")</f>
        <v/>
      </c>
      <c r="X124">
        <f>HYPERLINK("https://klasma.github.io/Logging_2180/kartor/A 18216-2024 karta.png", "A 18216-2024")</f>
        <v/>
      </c>
      <c r="Y124">
        <f>HYPERLINK("https://klasma.github.io/Logging_2180/kartor_geotiff/A 18216-2024 georefererad karta.tif", "A 18216-2024")</f>
        <v/>
      </c>
      <c r="AA124">
        <f>HYPERLINK("https://klasma.github.io/Logging_2180/klagomål/A 18216-2024 FSC-klagomål.docx", "A 18216-2024")</f>
        <v/>
      </c>
      <c r="AB124">
        <f>HYPERLINK("https://klasma.github.io/Logging_2180/klagomålsmail/A 18216-2024 FSC-klagomål mail.docx", "A 18216-2024")</f>
        <v/>
      </c>
      <c r="AC124">
        <f>HYPERLINK("https://klasma.github.io/Logging_2180/tillsyn/A 18216-2024 tillsynsbegäran.docx", "A 18216-2024")</f>
        <v/>
      </c>
      <c r="AD124">
        <f>HYPERLINK("https://klasma.github.io/Logging_2180/tillsynsmail/A 18216-2024 tillsynsbegäran mail.docx", "A 18216-2024")</f>
        <v/>
      </c>
    </row>
    <row r="125" ht="15" customHeight="1">
      <c r="A125" t="inlineStr">
        <is>
          <t>A 37927-2022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46230</v>
      </c>
      <c r="F125" t="inlineStr">
        <is>
          <t>GÄVLEBORGS LÄN</t>
        </is>
      </c>
      <c r="G125" t="inlineStr">
        <is>
          <t>GÄVLE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10</v>
      </c>
      <c r="U125" t="n">
        <v>10</v>
      </c>
      <c r="V125" s="2" t="inlineStr">
        <is>
          <t>Knärot</t>
        </is>
      </c>
      <c r="W125">
        <f>HYPERLINK("https://klasma.github.io/Logging_2180/artfynd/A 37927-2022 artfynd.xlsx", "A 37927-2022")</f>
        <v/>
      </c>
      <c r="X125">
        <f>HYPERLINK("https://klasma.github.io/Logging_2180/kartor/A 37927-2022 karta.png", "A 37927-2022")</f>
        <v/>
      </c>
      <c r="Y125">
        <f>HYPERLINK("https://klasma.github.io/Logging_2180/kartor_geotiff/A 37927-2022 georefererad karta.tif", "A 37927-2022")</f>
        <v/>
      </c>
      <c r="Z125">
        <f>HYPERLINK("https://klasma.github.io/Logging_2180/knärot/A 37927-2022 karta knärot.png", "A 37927-2022")</f>
        <v/>
      </c>
      <c r="AA125">
        <f>HYPERLINK("https://klasma.github.io/Logging_2180/klagomål/A 37927-2022 FSC-klagomål.docx", "A 37927-2022")</f>
        <v/>
      </c>
      <c r="AB125">
        <f>HYPERLINK("https://klasma.github.io/Logging_2180/klagomålsmail/A 37927-2022 FSC-klagomål mail.docx", "A 37927-2022")</f>
        <v/>
      </c>
      <c r="AC125">
        <f>HYPERLINK("https://klasma.github.io/Logging_2180/tillsyn/A 37927-2022 tillsynsbegäran.docx", "A 37927-2022")</f>
        <v/>
      </c>
      <c r="AD125">
        <f>HYPERLINK("https://klasma.github.io/Logging_2180/tillsynsmail/A 37927-2022 tillsynsbegäran mail.docx", "A 37927-2022")</f>
        <v/>
      </c>
    </row>
    <row r="126" ht="15" customHeight="1">
      <c r="A126" t="inlineStr">
        <is>
          <t>A 12083-2025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46230</v>
      </c>
      <c r="F126" t="inlineStr">
        <is>
          <t>GÄVLEBORGS LÄN</t>
        </is>
      </c>
      <c r="G126" t="inlineStr">
        <is>
          <t>GÄVLE</t>
        </is>
      </c>
      <c r="I126" t="n">
        <v>6.3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Grönsiska</t>
        </is>
      </c>
      <c r="W126">
        <f>HYPERLINK("https://klasma.github.io/Logging_2180/artfynd/A 12083-2025 artfynd.xlsx", "A 12083-2025")</f>
        <v/>
      </c>
      <c r="X126">
        <f>HYPERLINK("https://klasma.github.io/Logging_2180/kartor/A 12083-2025 karta.png", "A 12083-2025")</f>
        <v/>
      </c>
      <c r="Y126">
        <f>HYPERLINK("https://klasma.github.io/Logging_2180/kartor_geotiff/A 12083-2025 georefererad karta.tif", "A 12083-2025")</f>
        <v/>
      </c>
      <c r="AA126">
        <f>HYPERLINK("https://klasma.github.io/Logging_2180/klagomål/A 12083-2025 FSC-klagomål.docx", "A 12083-2025")</f>
        <v/>
      </c>
      <c r="AB126">
        <f>HYPERLINK("https://klasma.github.io/Logging_2180/klagomålsmail/A 12083-2025 FSC-klagomål mail.docx", "A 12083-2025")</f>
        <v/>
      </c>
      <c r="AC126">
        <f>HYPERLINK("https://klasma.github.io/Logging_2180/tillsyn/A 12083-2025 tillsynsbegäran.docx", "A 12083-2025")</f>
        <v/>
      </c>
      <c r="AD126">
        <f>HYPERLINK("https://klasma.github.io/Logging_2180/tillsynsmail/A 12083-2025 tillsynsbegäran mail.docx", "A 12083-2025")</f>
        <v/>
      </c>
    </row>
    <row r="127" ht="15" customHeight="1">
      <c r="A127" t="inlineStr">
        <is>
          <t>A 13227-2024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46230</v>
      </c>
      <c r="F127" t="inlineStr">
        <is>
          <t>GÄVLEBORGS LÄN</t>
        </is>
      </c>
      <c r="G127" t="inlineStr">
        <is>
          <t>GÄVLE</t>
        </is>
      </c>
      <c r="H127" t="inlineStr">
        <is>
          <t>Övriga statliga verk och myndigheter</t>
        </is>
      </c>
      <c r="I127" t="n">
        <v>5.9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Större vattensalamander</t>
        </is>
      </c>
      <c r="W127">
        <f>HYPERLINK("https://klasma.github.io/Logging_2180/artfynd/A 13227-2024 artfynd.xlsx", "A 13227-2024")</f>
        <v/>
      </c>
      <c r="X127">
        <f>HYPERLINK("https://klasma.github.io/Logging_2180/kartor/A 13227-2024 karta.png", "A 13227-2024")</f>
        <v/>
      </c>
      <c r="Y127">
        <f>HYPERLINK("https://klasma.github.io/Logging_2180/kartor_geotiff/A 13227-2024 georefererad karta.tif", "A 13227-2024")</f>
        <v/>
      </c>
      <c r="AA127">
        <f>HYPERLINK("https://klasma.github.io/Logging_2180/klagomål/A 13227-2024 FSC-klagomål.docx", "A 13227-2024")</f>
        <v/>
      </c>
      <c r="AB127">
        <f>HYPERLINK("https://klasma.github.io/Logging_2180/klagomålsmail/A 13227-2024 FSC-klagomål mail.docx", "A 13227-2024")</f>
        <v/>
      </c>
      <c r="AC127">
        <f>HYPERLINK("https://klasma.github.io/Logging_2180/tillsyn/A 13227-2024 tillsynsbegäran.docx", "A 13227-2024")</f>
        <v/>
      </c>
      <c r="AD127">
        <f>HYPERLINK("https://klasma.github.io/Logging_2180/tillsynsmail/A 13227-2024 tillsynsbegäran mail.docx", "A 13227-2024")</f>
        <v/>
      </c>
    </row>
    <row r="128" ht="15" customHeight="1">
      <c r="A128" t="inlineStr">
        <is>
          <t>A 47642-2024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46230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8.199999999999999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Orre</t>
        </is>
      </c>
      <c r="W128">
        <f>HYPERLINK("https://klasma.github.io/Logging_2180/artfynd/A 47642-2024 artfynd.xlsx", "A 47642-2024")</f>
        <v/>
      </c>
      <c r="X128">
        <f>HYPERLINK("https://klasma.github.io/Logging_2180/kartor/A 47642-2024 karta.png", "A 47642-2024")</f>
        <v/>
      </c>
      <c r="Y128">
        <f>HYPERLINK("https://klasma.github.io/Logging_2180/kartor_geotiff/A 47642-2024 georefererad karta.tif", "A 47642-2024")</f>
        <v/>
      </c>
      <c r="AA128">
        <f>HYPERLINK("https://klasma.github.io/Logging_2180/klagomål/A 47642-2024 FSC-klagomål.docx", "A 47642-2024")</f>
        <v/>
      </c>
      <c r="AB128">
        <f>HYPERLINK("https://klasma.github.io/Logging_2180/klagomålsmail/A 47642-2024 FSC-klagomål mail.docx", "A 47642-2024")</f>
        <v/>
      </c>
      <c r="AC128">
        <f>HYPERLINK("https://klasma.github.io/Logging_2180/tillsyn/A 47642-2024 tillsynsbegäran.docx", "A 47642-2024")</f>
        <v/>
      </c>
      <c r="AD128">
        <f>HYPERLINK("https://klasma.github.io/Logging_2180/tillsynsmail/A 47642-2024 tillsynsbegäran mail.docx", "A 47642-2024")</f>
        <v/>
      </c>
      <c r="AE128">
        <f>HYPERLINK("https://klasma.github.io/Logging_2180/fåglar/A 47642-2024 prioriterade fågelarter.docx", "A 47642-2024")</f>
        <v/>
      </c>
    </row>
    <row r="129" ht="15" customHeight="1">
      <c r="A129" t="inlineStr">
        <is>
          <t>A 12338-2025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46230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6.8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1</v>
      </c>
      <c r="V129" s="2" t="inlineStr">
        <is>
          <t>Skogsklocka</t>
        </is>
      </c>
      <c r="W129">
        <f>HYPERLINK("https://klasma.github.io/Logging_2180/artfynd/A 12338-2025 artfynd.xlsx", "A 12338-2025")</f>
        <v/>
      </c>
      <c r="X129">
        <f>HYPERLINK("https://klasma.github.io/Logging_2180/kartor/A 12338-2025 karta.png", "A 12338-2025")</f>
        <v/>
      </c>
      <c r="Y129">
        <f>HYPERLINK("https://klasma.github.io/Logging_2180/kartor_geotiff/A 12338-2025 georefererad karta.tif", "A 12338-2025")</f>
        <v/>
      </c>
      <c r="AA129">
        <f>HYPERLINK("https://klasma.github.io/Logging_2180/klagomål/A 12338-2025 FSC-klagomål.docx", "A 12338-2025")</f>
        <v/>
      </c>
      <c r="AB129">
        <f>HYPERLINK("https://klasma.github.io/Logging_2180/klagomålsmail/A 12338-2025 FSC-klagomål mail.docx", "A 12338-2025")</f>
        <v/>
      </c>
      <c r="AC129">
        <f>HYPERLINK("https://klasma.github.io/Logging_2180/tillsyn/A 12338-2025 tillsynsbegäran.docx", "A 12338-2025")</f>
        <v/>
      </c>
      <c r="AD129">
        <f>HYPERLINK("https://klasma.github.io/Logging_2180/tillsynsmail/A 12338-2025 tillsynsbegäran mail.docx", "A 12338-2025")</f>
        <v/>
      </c>
    </row>
    <row r="130" ht="15" customHeight="1">
      <c r="A130" t="inlineStr">
        <is>
          <t>A 30302-2025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46230</v>
      </c>
      <c r="F130" t="inlineStr">
        <is>
          <t>GÄVLEBORGS LÄN</t>
        </is>
      </c>
      <c r="G130" t="inlineStr">
        <is>
          <t>GÄVLE</t>
        </is>
      </c>
      <c r="I130" t="n">
        <v>1.4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Fläcknycklar</t>
        </is>
      </c>
      <c r="W130">
        <f>HYPERLINK("https://klasma.github.io/Logging_2180/artfynd/A 30302-2025 artfynd.xlsx", "A 30302-2025")</f>
        <v/>
      </c>
      <c r="X130">
        <f>HYPERLINK("https://klasma.github.io/Logging_2180/kartor/A 30302-2025 karta.png", "A 30302-2025")</f>
        <v/>
      </c>
      <c r="Y130">
        <f>HYPERLINK("https://klasma.github.io/Logging_2180/kartor_geotiff/A 30302-2025 georefererad karta.tif", "A 30302-2025")</f>
        <v/>
      </c>
      <c r="AA130">
        <f>HYPERLINK("https://klasma.github.io/Logging_2180/klagomål/A 30302-2025 FSC-klagomål.docx", "A 30302-2025")</f>
        <v/>
      </c>
      <c r="AB130">
        <f>HYPERLINK("https://klasma.github.io/Logging_2180/klagomålsmail/A 30302-2025 FSC-klagomål mail.docx", "A 30302-2025")</f>
        <v/>
      </c>
      <c r="AC130">
        <f>HYPERLINK("https://klasma.github.io/Logging_2180/tillsyn/A 30302-2025 tillsynsbegäran.docx", "A 30302-2025")</f>
        <v/>
      </c>
      <c r="AD130">
        <f>HYPERLINK("https://klasma.github.io/Logging_2180/tillsynsmail/A 30302-2025 tillsynsbegäran mail.docx", "A 30302-2025")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46230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46230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46230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46230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46230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46230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46230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46230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46230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46230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46230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46230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46230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46230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46230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46230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46230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46230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46230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46230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46230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46230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46230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46230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46230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46230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46230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46230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39374-2021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46230</v>
      </c>
      <c r="F159" t="inlineStr">
        <is>
          <t>GÄVLEBORGS LÄN</t>
        </is>
      </c>
      <c r="G159" t="inlineStr">
        <is>
          <t>GÄVLE</t>
        </is>
      </c>
      <c r="H159" t="inlineStr">
        <is>
          <t>Kyrkan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46230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46230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46230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46230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46230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46230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46230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46230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46230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46230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46230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46230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46230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46230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46230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46230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46230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46230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46230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46230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45014</v>
      </c>
      <c r="E180" s="1" t="n">
        <v>46230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46230</v>
      </c>
      <c r="F181" t="inlineStr">
        <is>
          <t>GÄVLEBORGS LÄN</t>
        </is>
      </c>
      <c r="G181" t="inlineStr">
        <is>
          <t>GÄVLE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46230</v>
      </c>
      <c r="F182" t="inlineStr">
        <is>
          <t>GÄVLEBORGS LÄN</t>
        </is>
      </c>
      <c r="G182" t="inlineStr">
        <is>
          <t>GÄVLE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46230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46230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46230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44637</v>
      </c>
      <c r="E186" s="1" t="n">
        <v>46230</v>
      </c>
      <c r="F186" t="inlineStr">
        <is>
          <t>GÄVLEBORGS LÄN</t>
        </is>
      </c>
      <c r="G186" t="inlineStr">
        <is>
          <t>GÄVLE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14750-2022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44656</v>
      </c>
      <c r="E187" s="1" t="n">
        <v>46230</v>
      </c>
      <c r="F187" t="inlineStr">
        <is>
          <t>GÄVLEBORGS LÄN</t>
        </is>
      </c>
      <c r="G187" t="inlineStr">
        <is>
          <t>GÄVLE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46230</v>
      </c>
      <c r="F188" t="inlineStr">
        <is>
          <t>GÄVLEBORGS LÄN</t>
        </is>
      </c>
      <c r="G188" t="inlineStr">
        <is>
          <t>GÄVLE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45666</v>
      </c>
      <c r="E189" s="1" t="n">
        <v>46230</v>
      </c>
      <c r="F189" t="inlineStr">
        <is>
          <t>GÄVLEBORGS LÄN</t>
        </is>
      </c>
      <c r="G189" t="inlineStr">
        <is>
          <t>GÄVLE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46230</v>
      </c>
      <c r="F190" t="inlineStr">
        <is>
          <t>GÄVLEBORGS LÄN</t>
        </is>
      </c>
      <c r="G190" t="inlineStr">
        <is>
          <t>GÄVLE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46230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46230</v>
      </c>
      <c r="F192" t="inlineStr">
        <is>
          <t>GÄVLEBORGS LÄN</t>
        </is>
      </c>
      <c r="G192" t="inlineStr">
        <is>
          <t>GÄVLE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46230</v>
      </c>
      <c r="F193" t="inlineStr">
        <is>
          <t>GÄVLEBORGS LÄN</t>
        </is>
      </c>
      <c r="G193" t="inlineStr">
        <is>
          <t>GÄVLE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46230</v>
      </c>
      <c r="F194" t="inlineStr">
        <is>
          <t>GÄVLEBORGS LÄN</t>
        </is>
      </c>
      <c r="G194" t="inlineStr">
        <is>
          <t>GÄVLE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46230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45265</v>
      </c>
      <c r="E196" s="1" t="n">
        <v>46230</v>
      </c>
      <c r="F196" t="inlineStr">
        <is>
          <t>GÄVLEBORGS LÄN</t>
        </is>
      </c>
      <c r="G196" t="inlineStr">
        <is>
          <t>GÄVLE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46230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46230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46230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46230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46230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46230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19095-2022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44691</v>
      </c>
      <c r="E203" s="1" t="n">
        <v>46230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46230</v>
      </c>
      <c r="F204" t="inlineStr">
        <is>
          <t>GÄVLEBORGS LÄN</t>
        </is>
      </c>
      <c r="G204" t="inlineStr">
        <is>
          <t>GÄVLE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46230</v>
      </c>
      <c r="F205" t="inlineStr">
        <is>
          <t>GÄVLEBORGS LÄN</t>
        </is>
      </c>
      <c r="G205" t="inlineStr">
        <is>
          <t>GÄVLE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46230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46230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44756</v>
      </c>
      <c r="E208" s="1" t="n">
        <v>46230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46230</v>
      </c>
      <c r="F209" t="inlineStr">
        <is>
          <t>GÄVLEBORGS LÄN</t>
        </is>
      </c>
      <c r="G209" t="inlineStr">
        <is>
          <t>GÄVLE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45125</v>
      </c>
      <c r="E210" s="1" t="n">
        <v>46230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46230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46230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50871-2022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44867</v>
      </c>
      <c r="E213" s="1" t="n">
        <v>46230</v>
      </c>
      <c r="F213" t="inlineStr">
        <is>
          <t>GÄVLEBORGS LÄN</t>
        </is>
      </c>
      <c r="G213" t="inlineStr">
        <is>
          <t>GÄVLE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46230</v>
      </c>
      <c r="F214" t="inlineStr">
        <is>
          <t>GÄVLEBORGS LÄN</t>
        </is>
      </c>
      <c r="G214" t="inlineStr">
        <is>
          <t>GÄVLE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44733</v>
      </c>
      <c r="E215" s="1" t="n">
        <v>46230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46230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46230</v>
      </c>
      <c r="F217" t="inlineStr">
        <is>
          <t>GÄVLEBORGS LÄN</t>
        </is>
      </c>
      <c r="G217" t="inlineStr">
        <is>
          <t>GÄVLE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46230</v>
      </c>
      <c r="F218" t="inlineStr">
        <is>
          <t>GÄVLEBORGS LÄN</t>
        </is>
      </c>
      <c r="G218" t="inlineStr">
        <is>
          <t>GÄVLE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45652</v>
      </c>
      <c r="E219" s="1" t="n">
        <v>46230</v>
      </c>
      <c r="F219" t="inlineStr">
        <is>
          <t>GÄVLEBORGS LÄN</t>
        </is>
      </c>
      <c r="G219" t="inlineStr">
        <is>
          <t>GÄVLE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46230</v>
      </c>
      <c r="F220" t="inlineStr">
        <is>
          <t>GÄVLEBORGS LÄN</t>
        </is>
      </c>
      <c r="G220" t="inlineStr">
        <is>
          <t>GÄVLE</t>
        </is>
      </c>
      <c r="H220" t="inlineStr">
        <is>
          <t>Kyrkan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45475</v>
      </c>
      <c r="E221" s="1" t="n">
        <v>46230</v>
      </c>
      <c r="F221" t="inlineStr">
        <is>
          <t>GÄVLEBORGS LÄN</t>
        </is>
      </c>
      <c r="G221" t="inlineStr">
        <is>
          <t>GÄVLE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44823</v>
      </c>
      <c r="E222" s="1" t="n">
        <v>46230</v>
      </c>
      <c r="F222" t="inlineStr">
        <is>
          <t>GÄVLEBORGS LÄN</t>
        </is>
      </c>
      <c r="G222" t="inlineStr">
        <is>
          <t>GÄVLE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45030</v>
      </c>
      <c r="E223" s="1" t="n">
        <v>46230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46230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44589</v>
      </c>
      <c r="E225" s="1" t="n">
        <v>46230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46230</v>
      </c>
      <c r="F226" t="inlineStr">
        <is>
          <t>GÄVLEBORGS LÄN</t>
        </is>
      </c>
      <c r="G226" t="inlineStr">
        <is>
          <t>GÄVLE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45468</v>
      </c>
      <c r="E227" s="1" t="n">
        <v>46230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45146</v>
      </c>
      <c r="E228" s="1" t="n">
        <v>46230</v>
      </c>
      <c r="F228" t="inlineStr">
        <is>
          <t>GÄVLEBORGS LÄN</t>
        </is>
      </c>
      <c r="G228" t="inlineStr">
        <is>
          <t>GÄVLE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46230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46230</v>
      </c>
      <c r="F230" t="inlineStr">
        <is>
          <t>GÄVLEBORGS LÄN</t>
        </is>
      </c>
      <c r="G230" t="inlineStr">
        <is>
          <t>GÄVLE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45672</v>
      </c>
      <c r="E231" s="1" t="n">
        <v>46230</v>
      </c>
      <c r="F231" t="inlineStr">
        <is>
          <t>GÄVLEBORGS LÄN</t>
        </is>
      </c>
      <c r="G231" t="inlineStr">
        <is>
          <t>GÄVLE</t>
        </is>
      </c>
      <c r="H231" t="inlineStr">
        <is>
          <t>Kyrkan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45261</v>
      </c>
      <c r="E232" s="1" t="n">
        <v>46230</v>
      </c>
      <c r="F232" t="inlineStr">
        <is>
          <t>GÄVLEBORGS LÄN</t>
        </is>
      </c>
      <c r="G232" t="inlineStr">
        <is>
          <t>GÄVLE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46230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46230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25593-2024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46230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46230</v>
      </c>
      <c r="F236" t="inlineStr">
        <is>
          <t>GÄVLEBORGS LÄN</t>
        </is>
      </c>
      <c r="G236" t="inlineStr">
        <is>
          <t>GÄVLE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10352-2025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45720</v>
      </c>
      <c r="E237" s="1" t="n">
        <v>46230</v>
      </c>
      <c r="F237" t="inlineStr">
        <is>
          <t>GÄVLEBORGS LÄN</t>
        </is>
      </c>
      <c r="G237" t="inlineStr">
        <is>
          <t>GÄVLE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45873</v>
      </c>
      <c r="E238" s="1" t="n">
        <v>46230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46230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45084</v>
      </c>
      <c r="E240" s="1" t="n">
        <v>46230</v>
      </c>
      <c r="F240" t="inlineStr">
        <is>
          <t>GÄVLEBORGS LÄN</t>
        </is>
      </c>
      <c r="G240" t="inlineStr">
        <is>
          <t>GÄVLE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17062-2023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45034</v>
      </c>
      <c r="E241" s="1" t="n">
        <v>46230</v>
      </c>
      <c r="F241" t="inlineStr">
        <is>
          <t>GÄVLEBORGS LÄN</t>
        </is>
      </c>
      <c r="G241" t="inlineStr">
        <is>
          <t>GÄVLE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46230</v>
      </c>
      <c r="F242" t="inlineStr">
        <is>
          <t>GÄVLEBORGS LÄN</t>
        </is>
      </c>
      <c r="G242" t="inlineStr">
        <is>
          <t>GÄVLE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65879-2021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46230</v>
      </c>
      <c r="F243" t="inlineStr">
        <is>
          <t>GÄVLEBORGS LÄN</t>
        </is>
      </c>
      <c r="G243" t="inlineStr">
        <is>
          <t>GÄVLE</t>
        </is>
      </c>
      <c r="H243" t="inlineStr">
        <is>
          <t>Kyrkan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45545</v>
      </c>
      <c r="E244" s="1" t="n">
        <v>46230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46230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46230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70043-2021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44533</v>
      </c>
      <c r="E247" s="1" t="n">
        <v>46230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45681</v>
      </c>
      <c r="E248" s="1" t="n">
        <v>46230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46230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46230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46230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46230</v>
      </c>
      <c r="F252" t="inlineStr">
        <is>
          <t>GÄVLEBORGS LÄN</t>
        </is>
      </c>
      <c r="G252" t="inlineStr">
        <is>
          <t>GÄVLE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45526</v>
      </c>
      <c r="E253" s="1" t="n">
        <v>46230</v>
      </c>
      <c r="F253" t="inlineStr">
        <is>
          <t>GÄVLEBORGS LÄN</t>
        </is>
      </c>
      <c r="G253" t="inlineStr">
        <is>
          <t>GÄVLE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46230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46230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45686</v>
      </c>
      <c r="E256" s="1" t="n">
        <v>46230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46230</v>
      </c>
      <c r="F257" t="inlineStr">
        <is>
          <t>GÄVLEBORGS LÄN</t>
        </is>
      </c>
      <c r="G257" t="inlineStr">
        <is>
          <t>GÄVLE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45593</v>
      </c>
      <c r="E258" s="1" t="n">
        <v>46230</v>
      </c>
      <c r="F258" t="inlineStr">
        <is>
          <t>GÄVLEBORGS LÄN</t>
        </is>
      </c>
      <c r="G258" t="inlineStr">
        <is>
          <t>GÄVLE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46230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46230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46230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45245</v>
      </c>
      <c r="E262" s="1" t="n">
        <v>46230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46230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40297-2025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45895</v>
      </c>
      <c r="E264" s="1" t="n">
        <v>46230</v>
      </c>
      <c r="F264" t="inlineStr">
        <is>
          <t>GÄVLEBORGS LÄN</t>
        </is>
      </c>
      <c r="G264" t="inlineStr">
        <is>
          <t>GÄVLE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46230</v>
      </c>
      <c r="F265" t="inlineStr">
        <is>
          <t>GÄVLEBORGS LÄN</t>
        </is>
      </c>
      <c r="G265" t="inlineStr">
        <is>
          <t>GÄVLE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44684</v>
      </c>
      <c r="E266" s="1" t="n">
        <v>46230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45896</v>
      </c>
      <c r="E267" s="1" t="n">
        <v>46230</v>
      </c>
      <c r="F267" t="inlineStr">
        <is>
          <t>GÄVLEBORGS LÄN</t>
        </is>
      </c>
      <c r="G267" t="inlineStr">
        <is>
          <t>GÄVLE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26094-2025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45805</v>
      </c>
      <c r="E268" s="1" t="n">
        <v>46230</v>
      </c>
      <c r="F268" t="inlineStr">
        <is>
          <t>GÄVLEBORGS LÄN</t>
        </is>
      </c>
      <c r="G268" t="inlineStr">
        <is>
          <t>GÄVLE</t>
        </is>
      </c>
      <c r="I268" t="n">
        <v>12.4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46230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46230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46230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45862</v>
      </c>
      <c r="E272" s="1" t="n">
        <v>46230</v>
      </c>
      <c r="F272" t="inlineStr">
        <is>
          <t>GÄVLEBORGS LÄN</t>
        </is>
      </c>
      <c r="G272" t="inlineStr">
        <is>
          <t>GÄVLE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46230</v>
      </c>
      <c r="F273" t="inlineStr">
        <is>
          <t>GÄVLEBORGS LÄN</t>
        </is>
      </c>
      <c r="G273" t="inlineStr">
        <is>
          <t>GÄVLE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46230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46230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46230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46230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46230</v>
      </c>
      <c r="F278" t="inlineStr">
        <is>
          <t>GÄVLEBORGS LÄN</t>
        </is>
      </c>
      <c r="G278" t="inlineStr">
        <is>
          <t>GÄVLE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46230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40993-2025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46230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45744</v>
      </c>
      <c r="E281" s="1" t="n">
        <v>46230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46230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45485</v>
      </c>
      <c r="E283" s="1" t="n">
        <v>46230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46230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46230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46230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46230</v>
      </c>
      <c r="F287" t="inlineStr">
        <is>
          <t>GÄVLEBORGS LÄN</t>
        </is>
      </c>
      <c r="G287" t="inlineStr">
        <is>
          <t>GÄVLE</t>
        </is>
      </c>
      <c r="H287" t="inlineStr">
        <is>
          <t>Kyrkan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46230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22.4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31062-2023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45113</v>
      </c>
      <c r="E289" s="1" t="n">
        <v>46230</v>
      </c>
      <c r="F289" t="inlineStr">
        <is>
          <t>GÄVLEBORGS LÄN</t>
        </is>
      </c>
      <c r="G289" t="inlineStr">
        <is>
          <t>GÄVLE</t>
        </is>
      </c>
      <c r="H289" t="inlineStr">
        <is>
          <t>Kommuner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46230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46077</v>
      </c>
      <c r="E291" s="1" t="n">
        <v>46230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46107</v>
      </c>
      <c r="E292" s="1" t="n">
        <v>46230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15092-2026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46230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44735</v>
      </c>
      <c r="E294" s="1" t="n">
        <v>46230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45223</v>
      </c>
      <c r="E295" s="1" t="n">
        <v>46230</v>
      </c>
      <c r="F295" t="inlineStr">
        <is>
          <t>GÄVLEBORGS LÄN</t>
        </is>
      </c>
      <c r="G295" t="inlineStr">
        <is>
          <t>GÄVLE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46230</v>
      </c>
      <c r="F296" t="inlineStr">
        <is>
          <t>GÄVLEBORGS LÄN</t>
        </is>
      </c>
      <c r="G296" t="inlineStr">
        <is>
          <t>GÄVLE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46230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46230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45744</v>
      </c>
      <c r="E299" s="1" t="n">
        <v>46230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46230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43087-2025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45909</v>
      </c>
      <c r="E301" s="1" t="n">
        <v>46230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46230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46230</v>
      </c>
      <c r="F303" t="inlineStr">
        <is>
          <t>GÄVLEBORGS LÄN</t>
        </is>
      </c>
      <c r="G303" t="inlineStr">
        <is>
          <t>GÄVLE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46230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15444-2024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45401</v>
      </c>
      <c r="E305" s="1" t="n">
        <v>46230</v>
      </c>
      <c r="F305" t="inlineStr">
        <is>
          <t>GÄVLEBORGS LÄN</t>
        </is>
      </c>
      <c r="G305" t="inlineStr">
        <is>
          <t>GÄVLE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46230</v>
      </c>
      <c r="F306" t="inlineStr">
        <is>
          <t>GÄVLEBORGS LÄN</t>
        </is>
      </c>
      <c r="G306" t="inlineStr">
        <is>
          <t>GÄVLE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46065</v>
      </c>
      <c r="E307" s="1" t="n">
        <v>46230</v>
      </c>
      <c r="F307" t="inlineStr">
        <is>
          <t>GÄVLEBORGS LÄN</t>
        </is>
      </c>
      <c r="G307" t="inlineStr">
        <is>
          <t>GÄVLE</t>
        </is>
      </c>
      <c r="I307" t="n">
        <v>9.5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46230</v>
      </c>
      <c r="F308" t="inlineStr">
        <is>
          <t>GÄVLEBORGS LÄN</t>
        </is>
      </c>
      <c r="G308" t="inlineStr">
        <is>
          <t>GÄVLE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15689-2026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46230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46230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15.2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45454</v>
      </c>
      <c r="E311" s="1" t="n">
        <v>46230</v>
      </c>
      <c r="F311" t="inlineStr">
        <is>
          <t>GÄVLEBORGS LÄN</t>
        </is>
      </c>
      <c r="G311" t="inlineStr">
        <is>
          <t>GÄVLE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45595</v>
      </c>
      <c r="E312" s="1" t="n">
        <v>46230</v>
      </c>
      <c r="F312" t="inlineStr">
        <is>
          <t>GÄVLEBORGS LÄN</t>
        </is>
      </c>
      <c r="G312" t="inlineStr">
        <is>
          <t>GÄVLE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45742</v>
      </c>
      <c r="E313" s="1" t="n">
        <v>46230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46230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46549-2021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44445</v>
      </c>
      <c r="E315" s="1" t="n">
        <v>46230</v>
      </c>
      <c r="F315" t="inlineStr">
        <is>
          <t>GÄVLEBORGS LÄN</t>
        </is>
      </c>
      <c r="G315" t="inlineStr">
        <is>
          <t>GÄVLE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46230</v>
      </c>
      <c r="F316" t="inlineStr">
        <is>
          <t>GÄVLEBORGS LÄN</t>
        </is>
      </c>
      <c r="G316" t="inlineStr">
        <is>
          <t>GÄVLE</t>
        </is>
      </c>
      <c r="I316" t="n">
        <v>12.7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44585</v>
      </c>
      <c r="E317" s="1" t="n">
        <v>46230</v>
      </c>
      <c r="F317" t="inlineStr">
        <is>
          <t>GÄVLEBORGS LÄN</t>
        </is>
      </c>
      <c r="G317" t="inlineStr">
        <is>
          <t>GÄVLE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46230</v>
      </c>
      <c r="F318" t="inlineStr">
        <is>
          <t>GÄVLEBORGS LÄN</t>
        </is>
      </c>
      <c r="G318" t="inlineStr">
        <is>
          <t>GÄVLE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45850-2025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45923</v>
      </c>
      <c r="E319" s="1" t="n">
        <v>46230</v>
      </c>
      <c r="F319" t="inlineStr">
        <is>
          <t>GÄVLEBORGS LÄN</t>
        </is>
      </c>
      <c r="G319" t="inlineStr">
        <is>
          <t>GÄVLE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46230</v>
      </c>
      <c r="F320" t="inlineStr">
        <is>
          <t>GÄVLEBORGS LÄN</t>
        </is>
      </c>
      <c r="G320" t="inlineStr">
        <is>
          <t>GÄVLE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44735</v>
      </c>
      <c r="E321" s="1" t="n">
        <v>46230</v>
      </c>
      <c r="F321" t="inlineStr">
        <is>
          <t>GÄVLEBORGS LÄN</t>
        </is>
      </c>
      <c r="G321" t="inlineStr">
        <is>
          <t>GÄVLE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36512-2025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45869</v>
      </c>
      <c r="E322" s="1" t="n">
        <v>46230</v>
      </c>
      <c r="F322" t="inlineStr">
        <is>
          <t>GÄVLEBORGS LÄN</t>
        </is>
      </c>
      <c r="G322" t="inlineStr">
        <is>
          <t>GÄVLE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46230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46230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46230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46230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32143-2024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45511</v>
      </c>
      <c r="E327" s="1" t="n">
        <v>46230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45926</v>
      </c>
      <c r="E328" s="1" t="n">
        <v>46230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46230</v>
      </c>
      <c r="F329" t="inlineStr">
        <is>
          <t>GÄVLEBORGS LÄN</t>
        </is>
      </c>
      <c r="G329" t="inlineStr">
        <is>
          <t>GÄVLE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46230</v>
      </c>
      <c r="F330" t="inlineStr">
        <is>
          <t>GÄVLEBORGS LÄN</t>
        </is>
      </c>
      <c r="G330" t="inlineStr">
        <is>
          <t>GÄVLE</t>
        </is>
      </c>
      <c r="H330" t="inlineStr">
        <is>
          <t>Kyrkan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46230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45931</v>
      </c>
      <c r="E332" s="1" t="n">
        <v>46230</v>
      </c>
      <c r="F332" t="inlineStr">
        <is>
          <t>GÄVLEBORGS LÄN</t>
        </is>
      </c>
      <c r="G332" t="inlineStr">
        <is>
          <t>GÄVLE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45931</v>
      </c>
      <c r="E333" s="1" t="n">
        <v>46230</v>
      </c>
      <c r="F333" t="inlineStr">
        <is>
          <t>GÄVLEBORGS LÄN</t>
        </is>
      </c>
      <c r="G333" t="inlineStr">
        <is>
          <t>GÄVLE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47171-2025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46230</v>
      </c>
      <c r="F334" t="inlineStr">
        <is>
          <t>GÄVLEBORGS LÄN</t>
        </is>
      </c>
      <c r="G334" t="inlineStr">
        <is>
          <t>GÄVLE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46230</v>
      </c>
      <c r="F335" t="inlineStr">
        <is>
          <t>GÄVLEBORGS LÄN</t>
        </is>
      </c>
      <c r="G335" t="inlineStr">
        <is>
          <t>GÄVLE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18168-2022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44684</v>
      </c>
      <c r="E336" s="1" t="n">
        <v>46230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44600</v>
      </c>
      <c r="E337" s="1" t="n">
        <v>46230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46230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48004-2025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45932</v>
      </c>
      <c r="E339" s="1" t="n">
        <v>46230</v>
      </c>
      <c r="F339" t="inlineStr">
        <is>
          <t>GÄVLEBORGS LÄN</t>
        </is>
      </c>
      <c r="G339" t="inlineStr">
        <is>
          <t>GÄVLE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46230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46230</v>
      </c>
      <c r="F341" t="inlineStr">
        <is>
          <t>GÄVLEBORGS LÄN</t>
        </is>
      </c>
      <c r="G341" t="inlineStr">
        <is>
          <t>GÄVLE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46230</v>
      </c>
      <c r="F342" t="inlineStr">
        <is>
          <t>GÄVLEBORGS LÄN</t>
        </is>
      </c>
      <c r="G342" t="inlineStr">
        <is>
          <t>GÄVLE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46230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46230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45932</v>
      </c>
      <c r="E345" s="1" t="n">
        <v>46230</v>
      </c>
      <c r="F345" t="inlineStr">
        <is>
          <t>GÄVLEBORGS LÄN</t>
        </is>
      </c>
      <c r="G345" t="inlineStr">
        <is>
          <t>GÄVLE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46230</v>
      </c>
      <c r="F346" t="inlineStr">
        <is>
          <t>GÄVLEBORGS LÄN</t>
        </is>
      </c>
      <c r="G346" t="inlineStr">
        <is>
          <t>GÄVLE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19730-2022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44694</v>
      </c>
      <c r="E347" s="1" t="n">
        <v>46230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46230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46077</v>
      </c>
      <c r="E349" s="1" t="n">
        <v>46230</v>
      </c>
      <c r="F349" t="inlineStr">
        <is>
          <t>GÄVLEBORGS LÄN</t>
        </is>
      </c>
      <c r="G349" t="inlineStr">
        <is>
          <t>GÄVLE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46230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45138</v>
      </c>
      <c r="E351" s="1" t="n">
        <v>46230</v>
      </c>
      <c r="F351" t="inlineStr">
        <is>
          <t>GÄVLEBORGS LÄN</t>
        </is>
      </c>
      <c r="G351" t="inlineStr">
        <is>
          <t>GÄVLE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46230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46230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46230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45937</v>
      </c>
      <c r="E355" s="1" t="n">
        <v>46230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46230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44951</v>
      </c>
      <c r="E357" s="1" t="n">
        <v>46230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46230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45939</v>
      </c>
      <c r="E359" s="1" t="n">
        <v>46230</v>
      </c>
      <c r="F359" t="inlineStr">
        <is>
          <t>GÄVLEBORGS LÄN</t>
        </is>
      </c>
      <c r="G359" t="inlineStr">
        <is>
          <t>GÄVLE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46230</v>
      </c>
      <c r="F360" t="inlineStr">
        <is>
          <t>GÄVLEBORGS LÄN</t>
        </is>
      </c>
      <c r="G360" t="inlineStr">
        <is>
          <t>GÄVLE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46141</v>
      </c>
      <c r="E361" s="1" t="n">
        <v>46230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46230</v>
      </c>
      <c r="F362" t="inlineStr">
        <is>
          <t>GÄVLEBORGS LÄN</t>
        </is>
      </c>
      <c r="G362" t="inlineStr">
        <is>
          <t>GÄVLE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46033</v>
      </c>
      <c r="E363" s="1" t="n">
        <v>46230</v>
      </c>
      <c r="F363" t="inlineStr">
        <is>
          <t>GÄVLEBORGS LÄN</t>
        </is>
      </c>
      <c r="G363" t="inlineStr">
        <is>
          <t>GÄVLE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46230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49934-2025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45940</v>
      </c>
      <c r="E365" s="1" t="n">
        <v>46230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46230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45705</v>
      </c>
      <c r="E367" s="1" t="n">
        <v>46230</v>
      </c>
      <c r="F367" t="inlineStr">
        <is>
          <t>GÄVLEBORGS LÄN</t>
        </is>
      </c>
      <c r="G367" t="inlineStr">
        <is>
          <t>GÄVLE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46230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46230</v>
      </c>
      <c r="F369" t="inlineStr">
        <is>
          <t>GÄVLEBORGS LÄN</t>
        </is>
      </c>
      <c r="G369" t="inlineStr">
        <is>
          <t>GÄVLE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44904</v>
      </c>
      <c r="E370" s="1" t="n">
        <v>46230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44962</v>
      </c>
      <c r="E371" s="1" t="n">
        <v>46230</v>
      </c>
      <c r="F371" t="inlineStr">
        <is>
          <t>GÄVLEBORGS LÄN</t>
        </is>
      </c>
      <c r="G371" t="inlineStr">
        <is>
          <t>GÄVLE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45660</v>
      </c>
      <c r="E372" s="1" t="n">
        <v>46230</v>
      </c>
      <c r="F372" t="inlineStr">
        <is>
          <t>GÄVLEBORGS LÄN</t>
        </is>
      </c>
      <c r="G372" t="inlineStr">
        <is>
          <t>GÄVLE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45944</v>
      </c>
      <c r="E373" s="1" t="n">
        <v>46230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46230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46230</v>
      </c>
      <c r="F375" t="inlineStr">
        <is>
          <t>GÄVLEBORGS LÄN</t>
        </is>
      </c>
      <c r="G375" t="inlineStr">
        <is>
          <t>GÄVLE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46230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46230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46230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46230</v>
      </c>
      <c r="F379" t="inlineStr">
        <is>
          <t>GÄVLEBORGS LÄN</t>
        </is>
      </c>
      <c r="G379" t="inlineStr">
        <is>
          <t>GÄVLE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46230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47108-2024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45586</v>
      </c>
      <c r="E381" s="1" t="n">
        <v>46230</v>
      </c>
      <c r="F381" t="inlineStr">
        <is>
          <t>GÄVLEBORGS LÄN</t>
        </is>
      </c>
      <c r="G381" t="inlineStr">
        <is>
          <t>GÄVLE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46230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46185</v>
      </c>
      <c r="E383" s="1" t="n">
        <v>46230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21300-2024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45440</v>
      </c>
      <c r="E384" s="1" t="n">
        <v>46230</v>
      </c>
      <c r="F384" t="inlineStr">
        <is>
          <t>GÄVLEBORGS LÄN</t>
        </is>
      </c>
      <c r="G384" t="inlineStr">
        <is>
          <t>GÄVLE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46230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47746-2023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45203</v>
      </c>
      <c r="E386" s="1" t="n">
        <v>46230</v>
      </c>
      <c r="F386" t="inlineStr">
        <is>
          <t>GÄVLEBORGS LÄN</t>
        </is>
      </c>
      <c r="G386" t="inlineStr">
        <is>
          <t>GÄVLE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46230</v>
      </c>
      <c r="F387" t="inlineStr">
        <is>
          <t>GÄVLEBORGS LÄN</t>
        </is>
      </c>
      <c r="G387" t="inlineStr">
        <is>
          <t>GÄVLE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46230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46230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46185</v>
      </c>
      <c r="E390" s="1" t="n">
        <v>46230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45632</v>
      </c>
      <c r="E391" s="1" t="n">
        <v>46230</v>
      </c>
      <c r="F391" t="inlineStr">
        <is>
          <t>GÄVLEBORGS LÄN</t>
        </is>
      </c>
      <c r="G391" t="inlineStr">
        <is>
          <t>GÄVLE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51758-2025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46230</v>
      </c>
      <c r="F392" t="inlineStr">
        <is>
          <t>GÄVLEBORGS LÄN</t>
        </is>
      </c>
      <c r="G392" t="inlineStr">
        <is>
          <t>GÄVLE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46230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52495-2021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44466</v>
      </c>
      <c r="E394" s="1" t="n">
        <v>46230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48247-2025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46230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34668-2024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45526</v>
      </c>
      <c r="E396" s="1" t="n">
        <v>46230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45666</v>
      </c>
      <c r="E397" s="1" t="n">
        <v>46230</v>
      </c>
      <c r="F397" t="inlineStr">
        <is>
          <t>GÄVLEBORGS LÄN</t>
        </is>
      </c>
      <c r="G397" t="inlineStr">
        <is>
          <t>GÄVLE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45952</v>
      </c>
      <c r="E398" s="1" t="n">
        <v>46230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46230</v>
      </c>
      <c r="F399" t="inlineStr">
        <is>
          <t>GÄVLEBORGS LÄN</t>
        </is>
      </c>
      <c r="G399" t="inlineStr">
        <is>
          <t>GÄVLE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20689-2024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45436</v>
      </c>
      <c r="E400" s="1" t="n">
        <v>46230</v>
      </c>
      <c r="F400" t="inlineStr">
        <is>
          <t>GÄVLEBORGS LÄN</t>
        </is>
      </c>
      <c r="G400" t="inlineStr">
        <is>
          <t>GÄVLE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52970-2025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45957</v>
      </c>
      <c r="E401" s="1" t="n">
        <v>46230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46230</v>
      </c>
      <c r="F402" t="inlineStr">
        <is>
          <t>GÄVLEBORGS LÄN</t>
        </is>
      </c>
      <c r="G402" t="inlineStr">
        <is>
          <t>GÄVLE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32353-2023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46230</v>
      </c>
      <c r="F403" t="inlineStr">
        <is>
          <t>GÄVLEBORGS LÄN</t>
        </is>
      </c>
      <c r="G403" t="inlineStr">
        <is>
          <t>GÄVLE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46230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46230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46147</v>
      </c>
      <c r="E406" s="1" t="n">
        <v>46230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52897-2025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46230</v>
      </c>
      <c r="F407" t="inlineStr">
        <is>
          <t>GÄVLEBORGS LÄN</t>
        </is>
      </c>
      <c r="G407" t="inlineStr">
        <is>
          <t>GÄVLE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46230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46146</v>
      </c>
      <c r="E409" s="1" t="n">
        <v>46230</v>
      </c>
      <c r="F409" t="inlineStr">
        <is>
          <t>GÄVLEBORGS LÄN</t>
        </is>
      </c>
      <c r="G409" t="inlineStr">
        <is>
          <t>GÄVLE</t>
        </is>
      </c>
      <c r="H409" t="inlineStr">
        <is>
          <t>Kyrkan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46230</v>
      </c>
      <c r="F410" t="inlineStr">
        <is>
          <t>GÄVLEBORGS LÄN</t>
        </is>
      </c>
      <c r="G410" t="inlineStr">
        <is>
          <t>GÄVLE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45960</v>
      </c>
      <c r="E411" s="1" t="n">
        <v>46230</v>
      </c>
      <c r="F411" t="inlineStr">
        <is>
          <t>GÄVLEBORGS LÄN</t>
        </is>
      </c>
      <c r="G411" t="inlineStr">
        <is>
          <t>GÄVLE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14707-2026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46230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46230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64868-2023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45282</v>
      </c>
      <c r="E414" s="1" t="n">
        <v>46230</v>
      </c>
      <c r="F414" t="inlineStr">
        <is>
          <t>GÄVLEBORGS LÄN</t>
        </is>
      </c>
      <c r="G414" t="inlineStr">
        <is>
          <t>GÄVLE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46230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45719</v>
      </c>
      <c r="E416" s="1" t="n">
        <v>46230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54480-2025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46230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45672</v>
      </c>
      <c r="E418" s="1" t="n">
        <v>46230</v>
      </c>
      <c r="F418" t="inlineStr">
        <is>
          <t>GÄVLEBORGS LÄN</t>
        </is>
      </c>
      <c r="G418" t="inlineStr">
        <is>
          <t>GÄVLE</t>
        </is>
      </c>
      <c r="H418" t="inlineStr">
        <is>
          <t>Kyrkan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46230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46230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45422</v>
      </c>
      <c r="E421" s="1" t="n">
        <v>46230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46230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46230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46230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46230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45162</v>
      </c>
      <c r="E426" s="1" t="n">
        <v>46230</v>
      </c>
      <c r="F426" t="inlineStr">
        <is>
          <t>GÄVLEBORGS LÄN</t>
        </is>
      </c>
      <c r="G426" t="inlineStr">
        <is>
          <t>GÄVLE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54959-2025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45967</v>
      </c>
      <c r="E427" s="1" t="n">
        <v>46230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46230</v>
      </c>
      <c r="F428" t="inlineStr">
        <is>
          <t>GÄVLEBORGS LÄN</t>
        </is>
      </c>
      <c r="G428" t="inlineStr">
        <is>
          <t>GÄVLE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46230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45058</v>
      </c>
      <c r="E430" s="1" t="n">
        <v>46230</v>
      </c>
      <c r="F430" t="inlineStr">
        <is>
          <t>GÄVLEBORGS LÄN</t>
        </is>
      </c>
      <c r="G430" t="inlineStr">
        <is>
          <t>GÄVLE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46230</v>
      </c>
      <c r="F431" t="inlineStr">
        <is>
          <t>GÄVLEBORGS LÄN</t>
        </is>
      </c>
      <c r="G431" t="inlineStr">
        <is>
          <t>GÄVLE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44586</v>
      </c>
      <c r="E432" s="1" t="n">
        <v>46230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46230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46230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46230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46230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45658</v>
      </c>
      <c r="E437" s="1" t="n">
        <v>46230</v>
      </c>
      <c r="F437" t="inlineStr">
        <is>
          <t>GÄVLEBORGS LÄN</t>
        </is>
      </c>
      <c r="G437" t="inlineStr">
        <is>
          <t>GÄVLE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46230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46230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66351-2021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44518</v>
      </c>
      <c r="E440" s="1" t="n">
        <v>46230</v>
      </c>
      <c r="F440" t="inlineStr">
        <is>
          <t>GÄVLEBORGS LÄN</t>
        </is>
      </c>
      <c r="G440" t="inlineStr">
        <is>
          <t>GÄVLE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24724-2023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46230</v>
      </c>
      <c r="F441" t="inlineStr">
        <is>
          <t>GÄVLEBORGS LÄN</t>
        </is>
      </c>
      <c r="G441" t="inlineStr">
        <is>
          <t>GÄVLE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46230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46230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46230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22111-2026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46230</v>
      </c>
      <c r="F445" t="inlineStr">
        <is>
          <t>GÄVLEBORGS LÄN</t>
        </is>
      </c>
      <c r="G445" t="inlineStr">
        <is>
          <t>GÄVLE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46230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46230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8.5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46230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46230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46230</v>
      </c>
      <c r="F450" t="inlineStr">
        <is>
          <t>GÄVLEBORGS LÄN</t>
        </is>
      </c>
      <c r="G450" t="inlineStr">
        <is>
          <t>GÄVLE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46230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56774-2025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46230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56776-2025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46230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29929-2022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44756</v>
      </c>
      <c r="E454" s="1" t="n">
        <v>46230</v>
      </c>
      <c r="F454" t="inlineStr">
        <is>
          <t>GÄVLEBORGS LÄN</t>
        </is>
      </c>
      <c r="G454" t="inlineStr">
        <is>
          <t>GÄVLE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46230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38673-2024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46230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44936</v>
      </c>
      <c r="E457" s="1" t="n">
        <v>46230</v>
      </c>
      <c r="F457" t="inlineStr">
        <is>
          <t>GÄVLEBORGS LÄN</t>
        </is>
      </c>
      <c r="G457" t="inlineStr">
        <is>
          <t>GÄVLE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60442-2022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46230</v>
      </c>
      <c r="F458" t="inlineStr">
        <is>
          <t>GÄVLEBORGS LÄN</t>
        </is>
      </c>
      <c r="G458" t="inlineStr">
        <is>
          <t>GÄVLE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50314-2024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45600</v>
      </c>
      <c r="E459" s="1" t="n">
        <v>46230</v>
      </c>
      <c r="F459" t="inlineStr">
        <is>
          <t>GÄVLEBORGS LÄN</t>
        </is>
      </c>
      <c r="G459" t="inlineStr">
        <is>
          <t>GÄVLE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46230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61786-2024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45649</v>
      </c>
      <c r="E461" s="1" t="n">
        <v>46230</v>
      </c>
      <c r="F461" t="inlineStr">
        <is>
          <t>GÄVLEBORGS LÄN</t>
        </is>
      </c>
      <c r="G461" t="inlineStr">
        <is>
          <t>GÄVLE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46230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45912</v>
      </c>
      <c r="E463" s="1" t="n">
        <v>46230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46230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46230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46230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46230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46230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46230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46230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45912</v>
      </c>
      <c r="E471" s="1" t="n">
        <v>46230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46230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8.199999999999999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45546-2025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45922</v>
      </c>
      <c r="E473" s="1" t="n">
        <v>46230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45922</v>
      </c>
      <c r="E474" s="1" t="n">
        <v>46230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46230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46230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45987</v>
      </c>
      <c r="E477" s="1" t="n">
        <v>46230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46230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45320</v>
      </c>
      <c r="E479" s="1" t="n">
        <v>46230</v>
      </c>
      <c r="F479" t="inlineStr">
        <is>
          <t>GÄVLEBORGS LÄN</t>
        </is>
      </c>
      <c r="G479" t="inlineStr">
        <is>
          <t>GÄVLE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46230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45992</v>
      </c>
      <c r="E481" s="1" t="n">
        <v>46230</v>
      </c>
      <c r="F481" t="inlineStr">
        <is>
          <t>GÄVLEBORGS LÄN</t>
        </is>
      </c>
      <c r="G481" t="inlineStr">
        <is>
          <t>GÄVLE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60038-2025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46230</v>
      </c>
      <c r="F482" t="inlineStr">
        <is>
          <t>GÄVLEBORGS LÄN</t>
        </is>
      </c>
      <c r="G482" t="inlineStr">
        <is>
          <t>GÄVLE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59627-2025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45992</v>
      </c>
      <c r="E483" s="1" t="n">
        <v>46230</v>
      </c>
      <c r="F483" t="inlineStr">
        <is>
          <t>GÄVLEBORGS LÄN</t>
        </is>
      </c>
      <c r="G483" t="inlineStr">
        <is>
          <t>GÄVLE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46230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60105-2025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45994</v>
      </c>
      <c r="E485" s="1" t="n">
        <v>46230</v>
      </c>
      <c r="F485" t="inlineStr">
        <is>
          <t>GÄVLEBORGS LÄN</t>
        </is>
      </c>
      <c r="G485" t="inlineStr">
        <is>
          <t>GÄVLE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46230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46230</v>
      </c>
      <c r="F487" t="inlineStr">
        <is>
          <t>GÄVLEBORGS LÄN</t>
        </is>
      </c>
      <c r="G487" t="inlineStr">
        <is>
          <t>GÄVLE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45120</v>
      </c>
      <c r="E488" s="1" t="n">
        <v>46230</v>
      </c>
      <c r="F488" t="inlineStr">
        <is>
          <t>GÄVLEBORGS LÄN</t>
        </is>
      </c>
      <c r="G488" t="inlineStr">
        <is>
          <t>GÄVLE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55217-2025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45968</v>
      </c>
      <c r="E489" s="1" t="n">
        <v>46230</v>
      </c>
      <c r="F489" t="inlineStr">
        <is>
          <t>GÄVLEBORGS LÄN</t>
        </is>
      </c>
      <c r="G489" t="inlineStr">
        <is>
          <t>GÄVLE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46230</v>
      </c>
      <c r="F490" t="inlineStr">
        <is>
          <t>GÄVLEBORGS LÄN</t>
        </is>
      </c>
      <c r="G490" t="inlineStr">
        <is>
          <t>GÄVLE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44800-2024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45574</v>
      </c>
      <c r="E491" s="1" t="n">
        <v>46230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46230</v>
      </c>
      <c r="F492" t="inlineStr">
        <is>
          <t>GÄVLEBORGS LÄN</t>
        </is>
      </c>
      <c r="G492" t="inlineStr">
        <is>
          <t>GÄVLE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60922-2025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46230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46119</v>
      </c>
      <c r="E494" s="1" t="n">
        <v>46230</v>
      </c>
      <c r="F494" t="inlineStr">
        <is>
          <t>GÄVLEBORGS LÄN</t>
        </is>
      </c>
      <c r="G494" t="inlineStr">
        <is>
          <t>GÄVLE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46230</v>
      </c>
      <c r="F495" t="inlineStr">
        <is>
          <t>GÄVLEBORGS LÄN</t>
        </is>
      </c>
      <c r="G495" t="inlineStr">
        <is>
          <t>GÄVLE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61093-2025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46230</v>
      </c>
      <c r="F496" t="inlineStr">
        <is>
          <t>GÄVLEBORGS LÄN</t>
        </is>
      </c>
      <c r="G496" t="inlineStr">
        <is>
          <t>GÄVLE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46230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45312</v>
      </c>
      <c r="E498" s="1" t="n">
        <v>46230</v>
      </c>
      <c r="F498" t="inlineStr">
        <is>
          <t>GÄVLEBORGS LÄN</t>
        </is>
      </c>
      <c r="G498" t="inlineStr">
        <is>
          <t>GÄVLE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46230</v>
      </c>
      <c r="F499" t="inlineStr">
        <is>
          <t>GÄVLEBORGS LÄN</t>
        </is>
      </c>
      <c r="G499" t="inlineStr">
        <is>
          <t>GÄVLE</t>
        </is>
      </c>
      <c r="H499" t="inlineStr">
        <is>
          <t>Kyrkan</t>
        </is>
      </c>
      <c r="I499" t="n">
        <v>10.1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45257</v>
      </c>
      <c r="E500" s="1" t="n">
        <v>46230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46230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46230</v>
      </c>
      <c r="F502" t="inlineStr">
        <is>
          <t>GÄVLEBORGS LÄN</t>
        </is>
      </c>
      <c r="G502" t="inlineStr">
        <is>
          <t>GÄVLE</t>
        </is>
      </c>
      <c r="H502" t="inlineStr">
        <is>
          <t>BillerudKorsnäs AB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46230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46002</v>
      </c>
      <c r="E504" s="1" t="n">
        <v>46230</v>
      </c>
      <c r="F504" t="inlineStr">
        <is>
          <t>GÄVLEBORGS LÄN</t>
        </is>
      </c>
      <c r="G504" t="inlineStr">
        <is>
          <t>GÄVLE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46002</v>
      </c>
      <c r="E505" s="1" t="n">
        <v>46230</v>
      </c>
      <c r="F505" t="inlineStr">
        <is>
          <t>GÄVLEBORGS LÄN</t>
        </is>
      </c>
      <c r="G505" t="inlineStr">
        <is>
          <t>GÄVLE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46230</v>
      </c>
      <c r="F506" t="inlineStr">
        <is>
          <t>GÄVLEBORGS LÄN</t>
        </is>
      </c>
      <c r="G506" t="inlineStr">
        <is>
          <t>GÄVLE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46230</v>
      </c>
      <c r="F507" t="inlineStr">
        <is>
          <t>GÄVLEBORGS LÄN</t>
        </is>
      </c>
      <c r="G507" t="inlineStr">
        <is>
          <t>GÄVLE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14173-2022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44651</v>
      </c>
      <c r="E508" s="1" t="n">
        <v>46230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46230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61879-2025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46230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28331-2026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46230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46230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42876-2023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45182</v>
      </c>
      <c r="E513" s="1" t="n">
        <v>46230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22.7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22354-2026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46230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22358-2026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46230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22361-2026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46154</v>
      </c>
      <c r="E516" s="1" t="n">
        <v>46230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46230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62226-2025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46006</v>
      </c>
      <c r="E518" s="1" t="n">
        <v>46230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väst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46105</v>
      </c>
      <c r="E519" s="1" t="n">
        <v>46230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45757</v>
      </c>
      <c r="E520" s="1" t="n">
        <v>46230</v>
      </c>
      <c r="F520" t="inlineStr">
        <is>
          <t>GÄVLEBORGS LÄN</t>
        </is>
      </c>
      <c r="G520" t="inlineStr">
        <is>
          <t>GÄVLE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46230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46230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46008</v>
      </c>
      <c r="E523" s="1" t="n">
        <v>46230</v>
      </c>
      <c r="F523" t="inlineStr">
        <is>
          <t>GÄVLEBORGS LÄN</t>
        </is>
      </c>
      <c r="G523" t="inlineStr">
        <is>
          <t>GÄVLE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46230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45539</v>
      </c>
      <c r="E525" s="1" t="n">
        <v>46230</v>
      </c>
      <c r="F525" t="inlineStr">
        <is>
          <t>GÄVLEBORGS LÄN</t>
        </is>
      </c>
      <c r="G525" t="inlineStr">
        <is>
          <t>GÄVLE</t>
        </is>
      </c>
      <c r="I525" t="n">
        <v>9.4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45660</v>
      </c>
      <c r="E526" s="1" t="n">
        <v>46230</v>
      </c>
      <c r="F526" t="inlineStr">
        <is>
          <t>GÄVLEBORGS LÄN</t>
        </is>
      </c>
      <c r="G526" t="inlineStr">
        <is>
          <t>GÄVLE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22363-2026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46154</v>
      </c>
      <c r="E527" s="1" t="n">
        <v>46230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46230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46230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45673</v>
      </c>
      <c r="E530" s="1" t="n">
        <v>46230</v>
      </c>
      <c r="F530" t="inlineStr">
        <is>
          <t>GÄVLEBORGS LÄN</t>
        </is>
      </c>
      <c r="G530" t="inlineStr">
        <is>
          <t>GÄVLE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45673</v>
      </c>
      <c r="E531" s="1" t="n">
        <v>46230</v>
      </c>
      <c r="F531" t="inlineStr">
        <is>
          <t>GÄVLEBORGS LÄN</t>
        </is>
      </c>
      <c r="G531" t="inlineStr">
        <is>
          <t>GÄVLE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35450-2025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46230</v>
      </c>
      <c r="F532" t="inlineStr">
        <is>
          <t>GÄVLEBORGS LÄN</t>
        </is>
      </c>
      <c r="G532" t="inlineStr">
        <is>
          <t>GÄVLE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63801-2025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46019</v>
      </c>
      <c r="E533" s="1" t="n">
        <v>46230</v>
      </c>
      <c r="F533" t="inlineStr">
        <is>
          <t>GÄVLEBORGS LÄN</t>
        </is>
      </c>
      <c r="G533" t="inlineStr">
        <is>
          <t>GÄVLE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54953-2025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45967</v>
      </c>
      <c r="E534" s="1" t="n">
        <v>46230</v>
      </c>
      <c r="F534" t="inlineStr">
        <is>
          <t>GÄVLEBORGS LÄN</t>
        </is>
      </c>
      <c r="G534" t="inlineStr">
        <is>
          <t>GÄVLE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46230</v>
      </c>
      <c r="F535" t="inlineStr">
        <is>
          <t>GÄVLEBORGS LÄN</t>
        </is>
      </c>
      <c r="G535" t="inlineStr">
        <is>
          <t>GÄVLE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46230</v>
      </c>
      <c r="F536" t="inlineStr">
        <is>
          <t>GÄVLEBORGS LÄN</t>
        </is>
      </c>
      <c r="G536" t="inlineStr">
        <is>
          <t>GÄVLE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63800-2025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46019</v>
      </c>
      <c r="E537" s="1" t="n">
        <v>46230</v>
      </c>
      <c r="F537" t="inlineStr">
        <is>
          <t>GÄVLEBORGS LÄN</t>
        </is>
      </c>
      <c r="G537" t="inlineStr">
        <is>
          <t>GÄVLE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42788-2025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45908</v>
      </c>
      <c r="E538" s="1" t="n">
        <v>46230</v>
      </c>
      <c r="F538" t="inlineStr">
        <is>
          <t>GÄVLEBORGS LÄN</t>
        </is>
      </c>
      <c r="G538" t="inlineStr">
        <is>
          <t>GÄVLE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48928-2025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45937</v>
      </c>
      <c r="E539" s="1" t="n">
        <v>46230</v>
      </c>
      <c r="F539" t="inlineStr">
        <is>
          <t>GÄVLEBORGS LÄN</t>
        </is>
      </c>
      <c r="G539" t="inlineStr">
        <is>
          <t>GÄVLE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48864-2025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45937</v>
      </c>
      <c r="E540" s="1" t="n">
        <v>46230</v>
      </c>
      <c r="F540" t="inlineStr">
        <is>
          <t>GÄVLEBORGS LÄN</t>
        </is>
      </c>
      <c r="G540" t="inlineStr">
        <is>
          <t>GÄVLE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46230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46230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42692-2025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45908</v>
      </c>
      <c r="E543" s="1" t="n">
        <v>46230</v>
      </c>
      <c r="F543" t="inlineStr">
        <is>
          <t>GÄVLEBORGS LÄN</t>
        </is>
      </c>
      <c r="G543" t="inlineStr">
        <is>
          <t>GÄVLE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45931</v>
      </c>
      <c r="E544" s="1" t="n">
        <v>46230</v>
      </c>
      <c r="F544" t="inlineStr">
        <is>
          <t>GÄVLEBORGS LÄN</t>
        </is>
      </c>
      <c r="G544" t="inlineStr">
        <is>
          <t>GÄVLE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45932</v>
      </c>
      <c r="E545" s="1" t="n">
        <v>46230</v>
      </c>
      <c r="F545" t="inlineStr">
        <is>
          <t>GÄVLEBORGS LÄN</t>
        </is>
      </c>
      <c r="G545" t="inlineStr">
        <is>
          <t>GÄVLE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64142-2025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46022</v>
      </c>
      <c r="E546" s="1" t="n">
        <v>46230</v>
      </c>
      <c r="F546" t="inlineStr">
        <is>
          <t>GÄVLEBORGS LÄN</t>
        </is>
      </c>
      <c r="G546" t="inlineStr">
        <is>
          <t>GÄVLE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46230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46230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46230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61501-2024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46230</v>
      </c>
      <c r="F550" t="inlineStr">
        <is>
          <t>GÄVLEBORGS LÄN</t>
        </is>
      </c>
      <c r="G550" t="inlineStr">
        <is>
          <t>GÄVLE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47458-2022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44853</v>
      </c>
      <c r="E551" s="1" t="n">
        <v>46230</v>
      </c>
      <c r="F551" t="inlineStr">
        <is>
          <t>GÄVLEBORGS LÄN</t>
        </is>
      </c>
      <c r="G551" t="inlineStr">
        <is>
          <t>GÄVLE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15765-2026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46107</v>
      </c>
      <c r="E552" s="1" t="n">
        <v>46230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45312</v>
      </c>
      <c r="E553" s="1" t="n">
        <v>46230</v>
      </c>
      <c r="F553" t="inlineStr">
        <is>
          <t>GÄVLEBORGS LÄN</t>
        </is>
      </c>
      <c r="G553" t="inlineStr">
        <is>
          <t>GÄVLE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46230</v>
      </c>
      <c r="F554" t="inlineStr">
        <is>
          <t>GÄVLEBORGS LÄN</t>
        </is>
      </c>
      <c r="G554" t="inlineStr">
        <is>
          <t>GÄVLE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44938-2022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44841</v>
      </c>
      <c r="E555" s="1" t="n">
        <v>46230</v>
      </c>
      <c r="F555" t="inlineStr">
        <is>
          <t>GÄVLEBORGS LÄN</t>
        </is>
      </c>
      <c r="G555" t="inlineStr">
        <is>
          <t>GÄVLE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46230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22848-2026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46230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5241-2024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46230</v>
      </c>
      <c r="F558" t="inlineStr">
        <is>
          <t>GÄVLEBORGS LÄN</t>
        </is>
      </c>
      <c r="G558" t="inlineStr">
        <is>
          <t>GÄVLE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61878-2025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46003</v>
      </c>
      <c r="E559" s="1" t="n">
        <v>46230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46230</v>
      </c>
      <c r="F560" t="inlineStr">
        <is>
          <t>GÄVLEBORGS LÄN</t>
        </is>
      </c>
      <c r="G560" t="inlineStr">
        <is>
          <t>GÄVLE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46230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29333-2026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46230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46160</v>
      </c>
      <c r="E563" s="1" t="n">
        <v>46230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46230</v>
      </c>
      <c r="F564" t="inlineStr">
        <is>
          <t>GÄVLEBORGS LÄN</t>
        </is>
      </c>
      <c r="G564" t="inlineStr">
        <is>
          <t>GÄVLE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15469-2026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46230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46230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15711-2026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46230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46202</v>
      </c>
      <c r="E568" s="1" t="n">
        <v>46230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45217</v>
      </c>
      <c r="E569" s="1" t="n">
        <v>46230</v>
      </c>
      <c r="F569" t="inlineStr">
        <is>
          <t>GÄVLEBORGS LÄN</t>
        </is>
      </c>
      <c r="G569" t="inlineStr">
        <is>
          <t>GÄVLE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46230</v>
      </c>
      <c r="F570" t="inlineStr">
        <is>
          <t>GÄVLEBORGS LÄN</t>
        </is>
      </c>
      <c r="G570" t="inlineStr">
        <is>
          <t>GÄVLE</t>
        </is>
      </c>
      <c r="H570" t="inlineStr">
        <is>
          <t>Kyrkan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9235-2022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44616</v>
      </c>
      <c r="E571" s="1" t="n">
        <v>46230</v>
      </c>
      <c r="F571" t="inlineStr">
        <is>
          <t>GÄVLEBORGS LÄN</t>
        </is>
      </c>
      <c r="G571" t="inlineStr">
        <is>
          <t>GÄVLE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53082-2022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44876</v>
      </c>
      <c r="E572" s="1" t="n">
        <v>46230</v>
      </c>
      <c r="F572" t="inlineStr">
        <is>
          <t>GÄVLEBORGS LÄN</t>
        </is>
      </c>
      <c r="G572" t="inlineStr">
        <is>
          <t>GÄVLE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46041</v>
      </c>
      <c r="E573" s="1" t="n">
        <v>46230</v>
      </c>
      <c r="F573" t="inlineStr">
        <is>
          <t>GÄVLEBORGS LÄN</t>
        </is>
      </c>
      <c r="G573" t="inlineStr">
        <is>
          <t>GÄVLE</t>
        </is>
      </c>
      <c r="I573" t="n">
        <v>9.699999999999999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23117-2026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46161</v>
      </c>
      <c r="E574" s="1" t="n">
        <v>46230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72734-2021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44546</v>
      </c>
      <c r="E575" s="1" t="n">
        <v>46230</v>
      </c>
      <c r="F575" t="inlineStr">
        <is>
          <t>GÄVLEBORGS LÄN</t>
        </is>
      </c>
      <c r="G575" t="inlineStr">
        <is>
          <t>GÄVLE</t>
        </is>
      </c>
      <c r="H575" t="inlineStr">
        <is>
          <t>Kommuner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53432-2021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44468</v>
      </c>
      <c r="E576" s="1" t="n">
        <v>46230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46045</v>
      </c>
      <c r="E577" s="1" t="n">
        <v>46230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23591-2026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46163</v>
      </c>
      <c r="E578" s="1" t="n">
        <v>46230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58445-2021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44488</v>
      </c>
      <c r="E579" s="1" t="n">
        <v>46230</v>
      </c>
      <c r="F579" t="inlineStr">
        <is>
          <t>GÄVLEBORGS LÄN</t>
        </is>
      </c>
      <c r="G579" t="inlineStr">
        <is>
          <t>GÄVLE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46230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46230</v>
      </c>
      <c r="F581" t="inlineStr">
        <is>
          <t>GÄVLEBORGS LÄN</t>
        </is>
      </c>
      <c r="G581" t="inlineStr">
        <is>
          <t>GÄVLE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66493-2021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44519</v>
      </c>
      <c r="E582" s="1" t="n">
        <v>46230</v>
      </c>
      <c r="F582" t="inlineStr">
        <is>
          <t>GÄVLEBORGS LÄN</t>
        </is>
      </c>
      <c r="G582" t="inlineStr">
        <is>
          <t>GÄVLE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46230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46051</v>
      </c>
      <c r="E584" s="1" t="n">
        <v>46230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46051</v>
      </c>
      <c r="E585" s="1" t="n">
        <v>46230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25812-2023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45090</v>
      </c>
      <c r="E586" s="1" t="n">
        <v>46230</v>
      </c>
      <c r="F586" t="inlineStr">
        <is>
          <t>GÄVLEBORGS LÄN</t>
        </is>
      </c>
      <c r="G586" t="inlineStr">
        <is>
          <t>GÄVLE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46052</v>
      </c>
      <c r="E587" s="1" t="n">
        <v>46230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46230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46230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44936</v>
      </c>
      <c r="E590" s="1" t="n">
        <v>46230</v>
      </c>
      <c r="F590" t="inlineStr">
        <is>
          <t>GÄVLEBORGS LÄN</t>
        </is>
      </c>
      <c r="G590" t="inlineStr">
        <is>
          <t>GÄVLE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46230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46230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52.7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46230</v>
      </c>
      <c r="F593" t="inlineStr">
        <is>
          <t>GÄVLEBORGS LÄN</t>
        </is>
      </c>
      <c r="G593" t="inlineStr">
        <is>
          <t>GÄVLE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6681-2026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46230</v>
      </c>
      <c r="F594" t="inlineStr">
        <is>
          <t>GÄVLEBORGS LÄN</t>
        </is>
      </c>
      <c r="G594" t="inlineStr">
        <is>
          <t>GÄVLE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46230</v>
      </c>
      <c r="F595" t="inlineStr">
        <is>
          <t>GÄVLEBORGS LÄN</t>
        </is>
      </c>
      <c r="G595" t="inlineStr">
        <is>
          <t>GÄVLE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2457-2024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45312</v>
      </c>
      <c r="E596" s="1" t="n">
        <v>46230</v>
      </c>
      <c r="F596" t="inlineStr">
        <is>
          <t>GÄVLEBORGS LÄN</t>
        </is>
      </c>
      <c r="G596" t="inlineStr">
        <is>
          <t>GÄVLE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23956-2026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46230</v>
      </c>
      <c r="F597" t="inlineStr">
        <is>
          <t>GÄVLEBORGS LÄN</t>
        </is>
      </c>
      <c r="G597" t="inlineStr">
        <is>
          <t>GÄVLE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51071-2023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46230</v>
      </c>
      <c r="F598" t="inlineStr">
        <is>
          <t>GÄVLEBORGS LÄN</t>
        </is>
      </c>
      <c r="G598" t="inlineStr">
        <is>
          <t>GÄVLE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7239-2026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46058</v>
      </c>
      <c r="E599" s="1" t="n">
        <v>46230</v>
      </c>
      <c r="F599" t="inlineStr">
        <is>
          <t>GÄVLEBORGS LÄN</t>
        </is>
      </c>
      <c r="G599" t="inlineStr">
        <is>
          <t>GÄVLE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46058</v>
      </c>
      <c r="E600" s="1" t="n">
        <v>46230</v>
      </c>
      <c r="F600" t="inlineStr">
        <is>
          <t>GÄVLEBORGS LÄN</t>
        </is>
      </c>
      <c r="G600" t="inlineStr">
        <is>
          <t>GÄVLE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45412</v>
      </c>
      <c r="E601" s="1" t="n">
        <v>46230</v>
      </c>
      <c r="F601" t="inlineStr">
        <is>
          <t>GÄVLEBORGS LÄN</t>
        </is>
      </c>
      <c r="G601" t="inlineStr">
        <is>
          <t>GÄVLE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14553-2026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46100</v>
      </c>
      <c r="E602" s="1" t="n">
        <v>46230</v>
      </c>
      <c r="F602" t="inlineStr">
        <is>
          <t>GÄVLEBORGS LÄN</t>
        </is>
      </c>
      <c r="G602" t="inlineStr">
        <is>
          <t>GÄVLE</t>
        </is>
      </c>
      <c r="H602" t="inlineStr">
        <is>
          <t>Övriga statliga verk och myndigheter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46230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11.6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8303-2026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46230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46230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46062</v>
      </c>
      <c r="E606" s="1" t="n">
        <v>46230</v>
      </c>
      <c r="F606" t="inlineStr">
        <is>
          <t>GÄVLEBORGS LÄN</t>
        </is>
      </c>
      <c r="G606" t="inlineStr">
        <is>
          <t>GÄVLE</t>
        </is>
      </c>
      <c r="H606" t="inlineStr">
        <is>
          <t>Kyrkan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7673-2026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46062</v>
      </c>
      <c r="E607" s="1" t="n">
        <v>46230</v>
      </c>
      <c r="F607" t="inlineStr">
        <is>
          <t>GÄVLEBORGS LÄN</t>
        </is>
      </c>
      <c r="G607" t="inlineStr">
        <is>
          <t>GÄVLE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8301-2026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46230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49401-2024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45595</v>
      </c>
      <c r="E609" s="1" t="n">
        <v>46230</v>
      </c>
      <c r="F609" t="inlineStr">
        <is>
          <t>GÄVLEBORGS LÄN</t>
        </is>
      </c>
      <c r="G609" t="inlineStr">
        <is>
          <t>GÄVLE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46539-2021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44445</v>
      </c>
      <c r="E610" s="1" t="n">
        <v>46230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8558-2026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46065</v>
      </c>
      <c r="E611" s="1" t="n">
        <v>46230</v>
      </c>
      <c r="F611" t="inlineStr">
        <is>
          <t>GÄVLEBORGS LÄN</t>
        </is>
      </c>
      <c r="G611" t="inlineStr">
        <is>
          <t>GÄVLE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64871-2023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45282</v>
      </c>
      <c r="E612" s="1" t="n">
        <v>46230</v>
      </c>
      <c r="F612" t="inlineStr">
        <is>
          <t>GÄVLEBORGS LÄN</t>
        </is>
      </c>
      <c r="G612" t="inlineStr">
        <is>
          <t>GÄVLE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64875-2023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45282</v>
      </c>
      <c r="E613" s="1" t="n">
        <v>46230</v>
      </c>
      <c r="F613" t="inlineStr">
        <is>
          <t>GÄVLEBORGS LÄN</t>
        </is>
      </c>
      <c r="G613" t="inlineStr">
        <is>
          <t>GÄVLE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64878-2023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45282</v>
      </c>
      <c r="E614" s="1" t="n">
        <v>46230</v>
      </c>
      <c r="F614" t="inlineStr">
        <is>
          <t>GÄVLEBORGS LÄN</t>
        </is>
      </c>
      <c r="G614" t="inlineStr">
        <is>
          <t>GÄVLE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46069</v>
      </c>
      <c r="E615" s="1" t="n">
        <v>46230</v>
      </c>
      <c r="F615" t="inlineStr">
        <is>
          <t>GÄVLEBORGS LÄN</t>
        </is>
      </c>
      <c r="G615" t="inlineStr">
        <is>
          <t>GÄVLE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30324-2026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46207</v>
      </c>
      <c r="E616" s="1" t="n">
        <v>46230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46069</v>
      </c>
      <c r="E617" s="1" t="n">
        <v>46230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47143-2024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45586</v>
      </c>
      <c r="E618" s="1" t="n">
        <v>46230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46230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46230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42934-2023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45182</v>
      </c>
      <c r="E621" s="1" t="n">
        <v>46230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36638-2022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44804</v>
      </c>
      <c r="E622" s="1" t="n">
        <v>46230</v>
      </c>
      <c r="F622" t="inlineStr">
        <is>
          <t>GÄVLEBORGS LÄN</t>
        </is>
      </c>
      <c r="G622" t="inlineStr">
        <is>
          <t>GÄVLE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10063-2026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46073</v>
      </c>
      <c r="E623" s="1" t="n">
        <v>46230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46072</v>
      </c>
      <c r="E624" s="1" t="n">
        <v>46230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45628-2022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44845</v>
      </c>
      <c r="E625" s="1" t="n">
        <v>46230</v>
      </c>
      <c r="F625" t="inlineStr">
        <is>
          <t>GÄVLEBORGS LÄN</t>
        </is>
      </c>
      <c r="G625" t="inlineStr">
        <is>
          <t>GÄVLE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46169</v>
      </c>
      <c r="E626" s="1" t="n">
        <v>46230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24398-2026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46230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46230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46230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46230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46230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46230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46230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10273-2026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46076</v>
      </c>
      <c r="E634" s="1" t="n">
        <v>46230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46230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10504-2026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46077</v>
      </c>
      <c r="E636" s="1" t="n">
        <v>46230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46210</v>
      </c>
      <c r="E637" s="1" t="n">
        <v>46230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60792-2024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45644</v>
      </c>
      <c r="E638" s="1" t="n">
        <v>46230</v>
      </c>
      <c r="F638" t="inlineStr">
        <is>
          <t>GÄVLEBORGS LÄN</t>
        </is>
      </c>
      <c r="G638" t="inlineStr">
        <is>
          <t>GÄVLE</t>
        </is>
      </c>
      <c r="H638" t="inlineStr">
        <is>
          <t>Kyrkan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46230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46230</v>
      </c>
      <c r="F640" t="inlineStr">
        <is>
          <t>GÄVLEBORGS LÄN</t>
        </is>
      </c>
      <c r="G640" t="inlineStr">
        <is>
          <t>GÄVLE</t>
        </is>
      </c>
      <c r="H640" t="inlineStr">
        <is>
          <t>Kyrkan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46230</v>
      </c>
      <c r="F641" t="inlineStr">
        <is>
          <t>GÄVLEBORGS LÄN</t>
        </is>
      </c>
      <c r="G641" t="inlineStr">
        <is>
          <t>GÄVLE</t>
        </is>
      </c>
      <c r="H641" t="inlineStr">
        <is>
          <t>Kommuner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24373-2026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46230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22577-2022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44713</v>
      </c>
      <c r="E643" s="1" t="n">
        <v>46230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46210</v>
      </c>
      <c r="E644" s="1" t="n">
        <v>46230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57168-2023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45245</v>
      </c>
      <c r="E645" s="1" t="n">
        <v>46230</v>
      </c>
      <c r="F645" t="inlineStr">
        <is>
          <t>GÄVLEBORGS LÄN</t>
        </is>
      </c>
      <c r="G645" t="inlineStr">
        <is>
          <t>GÄVLE</t>
        </is>
      </c>
      <c r="H645" t="inlineStr">
        <is>
          <t>Kyrkan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46230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15207-2024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46230</v>
      </c>
      <c r="F647" t="inlineStr">
        <is>
          <t>GÄVLEBORGS LÄN</t>
        </is>
      </c>
      <c r="G647" t="inlineStr">
        <is>
          <t>GÄVLE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11523-2026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46083</v>
      </c>
      <c r="E648" s="1" t="n">
        <v>46230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46230</v>
      </c>
      <c r="F649" t="inlineStr">
        <is>
          <t>GÄVLEBORGS LÄN</t>
        </is>
      </c>
      <c r="G649" t="inlineStr">
        <is>
          <t>GÄVLE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46230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12015-2026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46230</v>
      </c>
      <c r="F651" t="inlineStr">
        <is>
          <t>GÄVLEBORGS LÄN</t>
        </is>
      </c>
      <c r="G651" t="inlineStr">
        <is>
          <t>GÄVLE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29016-2023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45104</v>
      </c>
      <c r="E652" s="1" t="n">
        <v>46230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6.8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60396-2022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44910</v>
      </c>
      <c r="E653" s="1" t="n">
        <v>46230</v>
      </c>
      <c r="F653" t="inlineStr">
        <is>
          <t>GÄVLEBORGS LÄN</t>
        </is>
      </c>
      <c r="G653" t="inlineStr">
        <is>
          <t>GÄVLE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46230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46213</v>
      </c>
      <c r="E655" s="1" t="n">
        <v>46230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46230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25276-2024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45462</v>
      </c>
      <c r="E657" s="1" t="n">
        <v>46230</v>
      </c>
      <c r="F657" t="inlineStr">
        <is>
          <t>GÄVLEBORGS LÄN</t>
        </is>
      </c>
      <c r="G657" t="inlineStr">
        <is>
          <t>GÄVLE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45660</v>
      </c>
      <c r="E658" s="1" t="n">
        <v>46230</v>
      </c>
      <c r="F658" t="inlineStr">
        <is>
          <t>GÄVLEBORGS LÄN</t>
        </is>
      </c>
      <c r="G658" t="inlineStr">
        <is>
          <t>GÄVLE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45660</v>
      </c>
      <c r="E659" s="1" t="n">
        <v>46230</v>
      </c>
      <c r="F659" t="inlineStr">
        <is>
          <t>GÄVLEBORGS LÄN</t>
        </is>
      </c>
      <c r="G659" t="inlineStr">
        <is>
          <t>GÄVLE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46213</v>
      </c>
      <c r="E660" s="1" t="n">
        <v>46230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12948-2026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46230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24456-2026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46230</v>
      </c>
      <c r="F662" t="inlineStr">
        <is>
          <t>GÄVLEBORGS LÄN</t>
        </is>
      </c>
      <c r="G662" t="inlineStr">
        <is>
          <t>GÄVLE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27182-2022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44741</v>
      </c>
      <c r="E663" s="1" t="n">
        <v>46230</v>
      </c>
      <c r="F663" t="inlineStr">
        <is>
          <t>GÄVLEBORGS LÄN</t>
        </is>
      </c>
      <c r="G663" t="inlineStr">
        <is>
          <t>GÄVLE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46091</v>
      </c>
      <c r="E664" s="1" t="n">
        <v>46230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46230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46213</v>
      </c>
      <c r="E666" s="1" t="n">
        <v>46230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12990-2026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46092</v>
      </c>
      <c r="E667" s="1" t="n">
        <v>46230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46230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13498-2026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46094</v>
      </c>
      <c r="E669" s="1" t="n">
        <v>46230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24810-2026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46173</v>
      </c>
      <c r="E670" s="1" t="n">
        <v>46230</v>
      </c>
      <c r="F670" t="inlineStr">
        <is>
          <t>GÄVLEBORGS LÄN</t>
        </is>
      </c>
      <c r="G670" t="inlineStr">
        <is>
          <t>GÄVLE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46230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13489-2026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46230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46230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46094</v>
      </c>
      <c r="E674" s="1" t="n">
        <v>46230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46230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13432-2026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46230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13389-2026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46094</v>
      </c>
      <c r="E677" s="1" t="n">
        <v>46230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13503-2026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46094</v>
      </c>
      <c r="E678" s="1" t="n">
        <v>46230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13104-2026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46093</v>
      </c>
      <c r="E679" s="1" t="n">
        <v>46230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46230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45350</v>
      </c>
      <c r="E681" s="1" t="n">
        <v>46230</v>
      </c>
      <c r="F681" t="inlineStr">
        <is>
          <t>GÄVLEBORGS LÄN</t>
        </is>
      </c>
      <c r="G681" t="inlineStr">
        <is>
          <t>GÄVLE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13574-2026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46095</v>
      </c>
      <c r="E682" s="1" t="n">
        <v>46230</v>
      </c>
      <c r="F682" t="inlineStr">
        <is>
          <t>GÄVLEBORGS LÄN</t>
        </is>
      </c>
      <c r="G682" t="inlineStr">
        <is>
          <t>GÄVLE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46230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61351-2021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44498</v>
      </c>
      <c r="E684" s="1" t="n">
        <v>46230</v>
      </c>
      <c r="F684" t="inlineStr">
        <is>
          <t>GÄVLEBORGS LÄN</t>
        </is>
      </c>
      <c r="G684" t="inlineStr">
        <is>
          <t>GÄVLE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14280-2026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46099</v>
      </c>
      <c r="E685" s="1" t="n">
        <v>46230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14401-2026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46100</v>
      </c>
      <c r="E686" s="1" t="n">
        <v>46230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46230</v>
      </c>
      <c r="F687" t="inlineStr">
        <is>
          <t>GÄVLEBORGS LÄN</t>
        </is>
      </c>
      <c r="G687" t="inlineStr">
        <is>
          <t>GÄVLE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53281-2024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45614</v>
      </c>
      <c r="E688" s="1" t="n">
        <v>46230</v>
      </c>
      <c r="F688" t="inlineStr">
        <is>
          <t>GÄVLEBORGS LÄN</t>
        </is>
      </c>
      <c r="G688" t="inlineStr">
        <is>
          <t>GÄVLE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46100</v>
      </c>
      <c r="E689" s="1" t="n">
        <v>46230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14963-2026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46230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45261</v>
      </c>
      <c r="E691" s="1" t="n">
        <v>46230</v>
      </c>
      <c r="F691" t="inlineStr">
        <is>
          <t>GÄVLEBORGS LÄN</t>
        </is>
      </c>
      <c r="G691" t="inlineStr">
        <is>
          <t>GÄVLE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14583-2026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46230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15046-2026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46104</v>
      </c>
      <c r="E693" s="1" t="n">
        <v>46230</v>
      </c>
      <c r="F693" t="inlineStr">
        <is>
          <t>GÄVLEBORGS LÄN</t>
        </is>
      </c>
      <c r="G693" t="inlineStr">
        <is>
          <t>GÄVLE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24669-2026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46230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21.4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46230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46230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15312-2023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45019</v>
      </c>
      <c r="E697" s="1" t="n">
        <v>46230</v>
      </c>
      <c r="F697" t="inlineStr">
        <is>
          <t>GÄVLEBORGS LÄN</t>
        </is>
      </c>
      <c r="G697" t="inlineStr">
        <is>
          <t>GÄVLE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15535-2026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46230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15097-2026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46230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52387-2022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44874</v>
      </c>
      <c r="E700" s="1" t="n">
        <v>46230</v>
      </c>
      <c r="F700" t="inlineStr">
        <is>
          <t>GÄVLEBORGS LÄN</t>
        </is>
      </c>
      <c r="G700" t="inlineStr">
        <is>
          <t>GÄVLE</t>
        </is>
      </c>
      <c r="H700" t="inlineStr">
        <is>
          <t>Kommuner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46230</v>
      </c>
      <c r="F701" t="inlineStr">
        <is>
          <t>GÄVLEBORGS LÄN</t>
        </is>
      </c>
      <c r="G701" t="inlineStr">
        <is>
          <t>GÄVLE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31011-2023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45113</v>
      </c>
      <c r="E702" s="1" t="n">
        <v>46230</v>
      </c>
      <c r="F702" t="inlineStr">
        <is>
          <t>GÄVLEBORGS LÄN</t>
        </is>
      </c>
      <c r="G702" t="inlineStr">
        <is>
          <t>GÄVLE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15843-2026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46107</v>
      </c>
      <c r="E703" s="1" t="n">
        <v>46230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22466-2023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45070</v>
      </c>
      <c r="E704" s="1" t="n">
        <v>46230</v>
      </c>
      <c r="F704" t="inlineStr">
        <is>
          <t>GÄVLEBORGS LÄN</t>
        </is>
      </c>
      <c r="G704" t="inlineStr">
        <is>
          <t>GÄVLE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16023-2023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45026</v>
      </c>
      <c r="E705" s="1" t="n">
        <v>46230</v>
      </c>
      <c r="F705" t="inlineStr">
        <is>
          <t>GÄVLEBORGS LÄN</t>
        </is>
      </c>
      <c r="G705" t="inlineStr">
        <is>
          <t>GÄVLE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46108</v>
      </c>
      <c r="E706" s="1" t="n">
        <v>46230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45467</v>
      </c>
      <c r="E707" s="1" t="n">
        <v>46230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25367-2026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46176</v>
      </c>
      <c r="E708" s="1" t="n">
        <v>46230</v>
      </c>
      <c r="F708" t="inlineStr">
        <is>
          <t>GÄVLEBORGS LÄN</t>
        </is>
      </c>
      <c r="G708" t="inlineStr">
        <is>
          <t>GÄVLE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7235-2025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45702</v>
      </c>
      <c r="E709" s="1" t="n">
        <v>46230</v>
      </c>
      <c r="F709" t="inlineStr">
        <is>
          <t>GÄVLEBORGS LÄN</t>
        </is>
      </c>
      <c r="G709" t="inlineStr">
        <is>
          <t>GÄVLE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16430-2026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46111</v>
      </c>
      <c r="E710" s="1" t="n">
        <v>46230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71215-2021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44539</v>
      </c>
      <c r="E711" s="1" t="n">
        <v>46230</v>
      </c>
      <c r="F711" t="inlineStr">
        <is>
          <t>GÄVLEBORGS LÄN</t>
        </is>
      </c>
      <c r="G711" t="inlineStr">
        <is>
          <t>GÄVLE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46230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61879-2024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45652</v>
      </c>
      <c r="E713" s="1" t="n">
        <v>46230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21367-2026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46230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17471-2026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46120</v>
      </c>
      <c r="E715" s="1" t="n">
        <v>46230</v>
      </c>
      <c r="F715" t="inlineStr">
        <is>
          <t>GÄVLEBORGS LÄN</t>
        </is>
      </c>
      <c r="G715" t="inlineStr">
        <is>
          <t>GÄVLE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44694</v>
      </c>
      <c r="E716" s="1" t="n">
        <v>46230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25500-2026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46230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39509-2022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44818</v>
      </c>
      <c r="E718" s="1" t="n">
        <v>46230</v>
      </c>
      <c r="F718" t="inlineStr">
        <is>
          <t>GÄVLEBORGS LÄN</t>
        </is>
      </c>
      <c r="G718" t="inlineStr">
        <is>
          <t>GÄVLE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46230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31528-2026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46220</v>
      </c>
      <c r="E720" s="1" t="n">
        <v>46230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11.4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46230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17695-2026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46230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46077</v>
      </c>
      <c r="E723" s="1" t="n">
        <v>46230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30662-2022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44763</v>
      </c>
      <c r="E724" s="1" t="n">
        <v>46230</v>
      </c>
      <c r="F724" t="inlineStr">
        <is>
          <t>GÄVLEBORGS LÄN</t>
        </is>
      </c>
      <c r="G724" t="inlineStr">
        <is>
          <t>GÄVLE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17954-2026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46122</v>
      </c>
      <c r="E725" s="1" t="n">
        <v>46230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väst AB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18173-2026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46125</v>
      </c>
      <c r="E726" s="1" t="n">
        <v>46230</v>
      </c>
      <c r="F726" t="inlineStr">
        <is>
          <t>GÄVLEBORGS LÄN</t>
        </is>
      </c>
      <c r="G726" t="inlineStr">
        <is>
          <t>GÄVLE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46230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46230</v>
      </c>
      <c r="F728" t="inlineStr">
        <is>
          <t>GÄVLEBORGS LÄN</t>
        </is>
      </c>
      <c r="G728" t="inlineStr">
        <is>
          <t>GÄVLE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61004-2024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45645</v>
      </c>
      <c r="E729" s="1" t="n">
        <v>46230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17976-2026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46124</v>
      </c>
      <c r="E730" s="1" t="n">
        <v>46230</v>
      </c>
      <c r="F730" t="inlineStr">
        <is>
          <t>GÄVLEBORGS LÄN</t>
        </is>
      </c>
      <c r="G730" t="inlineStr">
        <is>
          <t>GÄVLE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25513-2026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46177</v>
      </c>
      <c r="E731" s="1" t="n">
        <v>46230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17977-2026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46124</v>
      </c>
      <c r="E732" s="1" t="n">
        <v>46230</v>
      </c>
      <c r="F732" t="inlineStr">
        <is>
          <t>GÄVLEBORGS LÄN</t>
        </is>
      </c>
      <c r="G732" t="inlineStr">
        <is>
          <t>GÄVLE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17974-2026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46124</v>
      </c>
      <c r="E733" s="1" t="n">
        <v>46230</v>
      </c>
      <c r="F733" t="inlineStr">
        <is>
          <t>GÄVLEBORGS LÄN</t>
        </is>
      </c>
      <c r="G733" t="inlineStr">
        <is>
          <t>GÄVLE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17975-2026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46124</v>
      </c>
      <c r="E734" s="1" t="n">
        <v>46230</v>
      </c>
      <c r="F734" t="inlineStr">
        <is>
          <t>GÄVLEBORGS LÄN</t>
        </is>
      </c>
      <c r="G734" t="inlineStr">
        <is>
          <t>GÄVLE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37352-2024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45540</v>
      </c>
      <c r="E735" s="1" t="n">
        <v>46230</v>
      </c>
      <c r="F735" t="inlineStr">
        <is>
          <t>GÄVLEBORGS LÄN</t>
        </is>
      </c>
      <c r="G735" t="inlineStr">
        <is>
          <t>GÄVLE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25582-2026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46177</v>
      </c>
      <c r="E736" s="1" t="n">
        <v>46230</v>
      </c>
      <c r="F736" t="inlineStr">
        <is>
          <t>GÄVLEBORGS LÄN</t>
        </is>
      </c>
      <c r="G736" t="inlineStr">
        <is>
          <t>GÄVLE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17605-2025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45757</v>
      </c>
      <c r="E737" s="1" t="n">
        <v>46230</v>
      </c>
      <c r="F737" t="inlineStr">
        <is>
          <t>GÄVLEBORGS LÄN</t>
        </is>
      </c>
      <c r="G737" t="inlineStr">
        <is>
          <t>GÄVLE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17607-2025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45757</v>
      </c>
      <c r="E738" s="1" t="n">
        <v>46230</v>
      </c>
      <c r="F738" t="inlineStr">
        <is>
          <t>GÄVLEBORGS LÄN</t>
        </is>
      </c>
      <c r="G738" t="inlineStr">
        <is>
          <t>GÄVLE</t>
        </is>
      </c>
      <c r="I738" t="n">
        <v>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25829-2026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46230</v>
      </c>
      <c r="F739" t="inlineStr">
        <is>
          <t>GÄVLEBORGS LÄN</t>
        </is>
      </c>
      <c r="G739" t="inlineStr">
        <is>
          <t>GÄVLE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13046-2026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46230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18657-2026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46128</v>
      </c>
      <c r="E741" s="1" t="n">
        <v>46230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46128</v>
      </c>
      <c r="E742" s="1" t="n">
        <v>46230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31445-2026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46217</v>
      </c>
      <c r="E743" s="1" t="n">
        <v>46230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46230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25623-2026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46230</v>
      </c>
      <c r="F745" t="inlineStr">
        <is>
          <t>GÄVLEBORGS LÄN</t>
        </is>
      </c>
      <c r="G745" t="inlineStr">
        <is>
          <t>GÄVLE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14966-2026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46104</v>
      </c>
      <c r="E746" s="1" t="n">
        <v>46230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46128</v>
      </c>
      <c r="E747" s="1" t="n">
        <v>46230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18659-2026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46230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13492-2026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46230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15558-2026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46106</v>
      </c>
      <c r="E750" s="1" t="n">
        <v>46230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15568-2026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46230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26281-2026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46230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15634-2026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46106</v>
      </c>
      <c r="E753" s="1" t="n">
        <v>46230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36.3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56487-2023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45243</v>
      </c>
      <c r="E754" s="1" t="n">
        <v>46230</v>
      </c>
      <c r="F754" t="inlineStr">
        <is>
          <t>GÄVLEBORGS LÄN</t>
        </is>
      </c>
      <c r="G754" t="inlineStr">
        <is>
          <t>GÄVLE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9307-2022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44616</v>
      </c>
      <c r="E755" s="1" t="n">
        <v>46230</v>
      </c>
      <c r="F755" t="inlineStr">
        <is>
          <t>GÄVLEBORGS LÄN</t>
        </is>
      </c>
      <c r="G755" t="inlineStr">
        <is>
          <t>GÄVLE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19087-2026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46230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26016-2026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46181</v>
      </c>
      <c r="E757" s="1" t="n">
        <v>46230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46132</v>
      </c>
      <c r="E758" s="1" t="n">
        <v>46230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19164-2026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46230</v>
      </c>
      <c r="F759" t="inlineStr">
        <is>
          <t>GÄVLEBORGS LÄN</t>
        </is>
      </c>
      <c r="G759" t="inlineStr">
        <is>
          <t>GÄVLE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46230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13193-2025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45735</v>
      </c>
      <c r="E761" s="1" t="n">
        <v>46230</v>
      </c>
      <c r="F761" t="inlineStr">
        <is>
          <t>GÄVLEBORGS LÄN</t>
        </is>
      </c>
      <c r="G761" t="inlineStr">
        <is>
          <t>GÄVLE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46230</v>
      </c>
      <c r="F762" t="inlineStr">
        <is>
          <t>GÄVLEBORGS LÄN</t>
        </is>
      </c>
      <c r="G762" t="inlineStr">
        <is>
          <t>GÄVLE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46230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46230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31866-2023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45106</v>
      </c>
      <c r="E765" s="1" t="n">
        <v>46230</v>
      </c>
      <c r="F765" t="inlineStr">
        <is>
          <t>GÄVLEBORGS LÄN</t>
        </is>
      </c>
      <c r="G765" t="inlineStr">
        <is>
          <t>GÄVLE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19122-2026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46132</v>
      </c>
      <c r="E766" s="1" t="n">
        <v>46230</v>
      </c>
      <c r="F766" t="inlineStr">
        <is>
          <t>GÄVLEBORGS LÄN</t>
        </is>
      </c>
      <c r="G766" t="inlineStr">
        <is>
          <t>GÄVLE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14807-2023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45014</v>
      </c>
      <c r="E767" s="1" t="n">
        <v>46230</v>
      </c>
      <c r="F767" t="inlineStr">
        <is>
          <t>GÄVLEBORGS LÄN</t>
        </is>
      </c>
      <c r="G767" t="inlineStr">
        <is>
          <t>GÄVLE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46230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19715-2026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46230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12386-2026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46230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46230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19716-2026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46134</v>
      </c>
      <c r="E772" s="1" t="n">
        <v>46230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46105</v>
      </c>
      <c r="E773" s="1" t="n">
        <v>46230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46134</v>
      </c>
      <c r="E774" s="1" t="n">
        <v>46230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33880-2022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44790</v>
      </c>
      <c r="E775" s="1" t="n">
        <v>46230</v>
      </c>
      <c r="F775" t="inlineStr">
        <is>
          <t>GÄVLEBORGS LÄN</t>
        </is>
      </c>
      <c r="G775" t="inlineStr">
        <is>
          <t>GÄVLE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31566-2026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46223</v>
      </c>
      <c r="E776" s="1" t="n">
        <v>46230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46230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19372-2026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46133</v>
      </c>
      <c r="E778" s="1" t="n">
        <v>46230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27048-2026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46230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46230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27053-2026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46230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46230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45699</v>
      </c>
      <c r="E783" s="1" t="n">
        <v>46230</v>
      </c>
      <c r="F783" t="inlineStr">
        <is>
          <t>GÄVLEBORGS LÄN</t>
        </is>
      </c>
      <c r="G783" t="inlineStr">
        <is>
          <t>GÄVLE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27061-2026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46230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46800-2021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44446</v>
      </c>
      <c r="E785" s="1" t="n">
        <v>46230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11691-2024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45373</v>
      </c>
      <c r="E786" s="1" t="n">
        <v>46230</v>
      </c>
      <c r="F786" t="inlineStr">
        <is>
          <t>GÄVLEBORGS LÄN</t>
        </is>
      </c>
      <c r="G786" t="inlineStr">
        <is>
          <t>GÄVLE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62766-2022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44885</v>
      </c>
      <c r="E787" s="1" t="n">
        <v>46230</v>
      </c>
      <c r="F787" t="inlineStr">
        <is>
          <t>GÄVLEBORGS LÄN</t>
        </is>
      </c>
      <c r="G787" t="inlineStr">
        <is>
          <t>GÄVLE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26600-2026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46230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27046-2026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46185</v>
      </c>
      <c r="E789" s="1" t="n">
        <v>46230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27057-2026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46230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64873-2023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45282</v>
      </c>
      <c r="E791" s="1" t="n">
        <v>46230</v>
      </c>
      <c r="F791" t="inlineStr">
        <is>
          <t>GÄVLEBORGS LÄN</t>
        </is>
      </c>
      <c r="G791" t="inlineStr">
        <is>
          <t>GÄVLE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27040-2026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46185</v>
      </c>
      <c r="E792" s="1" t="n">
        <v>46230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27041-2026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46230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27051-2026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46230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27055-2026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46185</v>
      </c>
      <c r="E795" s="1" t="n">
        <v>46230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27059-2026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46185</v>
      </c>
      <c r="E796" s="1" t="n">
        <v>46230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26599-2026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46230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26658-2026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46230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27042-2026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46185</v>
      </c>
      <c r="E799" s="1" t="n">
        <v>46230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29862-2023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45107</v>
      </c>
      <c r="E800" s="1" t="n">
        <v>46230</v>
      </c>
      <c r="F800" t="inlineStr">
        <is>
          <t>GÄVLEBORGS LÄN</t>
        </is>
      </c>
      <c r="G800" t="inlineStr">
        <is>
          <t>GÄVLE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26942-2026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46230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46230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46230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24478-2023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45082</v>
      </c>
      <c r="E804" s="1" t="n">
        <v>46230</v>
      </c>
      <c r="F804" t="inlineStr">
        <is>
          <t>GÄVLEBORGS LÄN</t>
        </is>
      </c>
      <c r="G804" t="inlineStr">
        <is>
          <t>GÄVLE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17088-2023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45034</v>
      </c>
      <c r="E805" s="1" t="n">
        <v>46230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7792-2023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44973</v>
      </c>
      <c r="E806" s="1" t="n">
        <v>46230</v>
      </c>
      <c r="F806" t="inlineStr">
        <is>
          <t>GÄVLEBORGS LÄN</t>
        </is>
      </c>
      <c r="G806" t="inlineStr">
        <is>
          <t>GÄVLE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14735-2024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45397</v>
      </c>
      <c r="E807" s="1" t="n">
        <v>46230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35761-2022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44800</v>
      </c>
      <c r="E808" s="1" t="n">
        <v>46230</v>
      </c>
      <c r="F808" t="inlineStr">
        <is>
          <t>GÄVLEBORGS LÄN</t>
        </is>
      </c>
      <c r="G808" t="inlineStr">
        <is>
          <t>GÄVLE</t>
        </is>
      </c>
      <c r="I808" t="n">
        <v>8.199999999999999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61918-2023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45266</v>
      </c>
      <c r="E809" s="1" t="n">
        <v>46230</v>
      </c>
      <c r="F809" t="inlineStr">
        <is>
          <t>GÄVLEBORGS LÄN</t>
        </is>
      </c>
      <c r="G809" t="inlineStr">
        <is>
          <t>GÄVLE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17245-2024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45414</v>
      </c>
      <c r="E810" s="1" t="n">
        <v>46230</v>
      </c>
      <c r="F810" t="inlineStr">
        <is>
          <t>GÄVLEBORGS LÄN</t>
        </is>
      </c>
      <c r="G810" t="inlineStr">
        <is>
          <t>GÄVLE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62255-2022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44922</v>
      </c>
      <c r="E811" s="1" t="n">
        <v>46230</v>
      </c>
      <c r="F811" t="inlineStr">
        <is>
          <t>GÄVLEBORGS LÄN</t>
        </is>
      </c>
      <c r="G811" t="inlineStr">
        <is>
          <t>GÄVLE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57928-2024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45631</v>
      </c>
      <c r="E812" s="1" t="n">
        <v>46230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9422-2025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45715</v>
      </c>
      <c r="E813" s="1" t="n">
        <v>46230</v>
      </c>
      <c r="F813" t="inlineStr">
        <is>
          <t>GÄVLEBORGS LÄN</t>
        </is>
      </c>
      <c r="G813" t="inlineStr">
        <is>
          <t>GÄVLE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61843-2023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45266</v>
      </c>
      <c r="E814" s="1" t="n">
        <v>46230</v>
      </c>
      <c r="F814" t="inlineStr">
        <is>
          <t>GÄVLEBORGS LÄN</t>
        </is>
      </c>
      <c r="G814" t="inlineStr">
        <is>
          <t>GÄVLE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45660</v>
      </c>
      <c r="E815" s="1" t="n">
        <v>46230</v>
      </c>
      <c r="F815" t="inlineStr">
        <is>
          <t>GÄVLEBORGS LÄN</t>
        </is>
      </c>
      <c r="G815" t="inlineStr">
        <is>
          <t>GÄVLE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33449-2024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45519</v>
      </c>
      <c r="E816" s="1" t="n">
        <v>46230</v>
      </c>
      <c r="F816" t="inlineStr">
        <is>
          <t>GÄVLEBORGS LÄN</t>
        </is>
      </c>
      <c r="G816" t="inlineStr">
        <is>
          <t>GÄVLE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35440-2023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45146</v>
      </c>
      <c r="E817" s="1" t="n">
        <v>46230</v>
      </c>
      <c r="F817" t="inlineStr">
        <is>
          <t>GÄVLEBORGS LÄN</t>
        </is>
      </c>
      <c r="G817" t="inlineStr">
        <is>
          <t>GÄVLE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3662-2022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44586</v>
      </c>
      <c r="E818" s="1" t="n">
        <v>46230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7410-2025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45705</v>
      </c>
      <c r="E819" s="1" t="n">
        <v>46230</v>
      </c>
      <c r="F819" t="inlineStr">
        <is>
          <t>GÄVLEBORGS LÄN</t>
        </is>
      </c>
      <c r="G819" t="inlineStr">
        <is>
          <t>GÄVLE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46230</v>
      </c>
      <c r="F820" t="inlineStr">
        <is>
          <t>GÄVLEBORGS LÄN</t>
        </is>
      </c>
      <c r="G820" t="inlineStr">
        <is>
          <t>GÄVLE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44927</v>
      </c>
      <c r="E821" s="1" t="n">
        <v>46230</v>
      </c>
      <c r="F821" t="inlineStr">
        <is>
          <t>GÄVLEBORGS LÄN</t>
        </is>
      </c>
      <c r="G821" t="inlineStr">
        <is>
          <t>GÄVLE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44806-2024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45574</v>
      </c>
      <c r="E822" s="1" t="n">
        <v>46230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52250-2024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45608</v>
      </c>
      <c r="E823" s="1" t="n">
        <v>46230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30875-2022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44767</v>
      </c>
      <c r="E824" s="1" t="n">
        <v>46230</v>
      </c>
      <c r="F824" t="inlineStr">
        <is>
          <t>GÄVLEBORGS LÄN</t>
        </is>
      </c>
      <c r="G824" t="inlineStr">
        <is>
          <t>GÄVLE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60349-2022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44910</v>
      </c>
      <c r="E825" s="1" t="n">
        <v>46230</v>
      </c>
      <c r="F825" t="inlineStr">
        <is>
          <t>GÄVLEBORGS LÄN</t>
        </is>
      </c>
      <c r="G825" t="inlineStr">
        <is>
          <t>GÄVLE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41100-2024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45559</v>
      </c>
      <c r="E826" s="1" t="n">
        <v>46230</v>
      </c>
      <c r="F826" t="inlineStr">
        <is>
          <t>GÄVLEBORGS LÄN</t>
        </is>
      </c>
      <c r="G826" t="inlineStr">
        <is>
          <t>GÄVLE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35205-2024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45530</v>
      </c>
      <c r="E827" s="1" t="n">
        <v>46230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16401-2025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45751</v>
      </c>
      <c r="E828" s="1" t="n">
        <v>46230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5633-2024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45334</v>
      </c>
      <c r="E829" s="1" t="n">
        <v>46230</v>
      </c>
      <c r="F829" t="inlineStr">
        <is>
          <t>GÄVLEBORGS LÄN</t>
        </is>
      </c>
      <c r="G829" t="inlineStr">
        <is>
          <t>GÄVLE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13961-2024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45392</v>
      </c>
      <c r="E830" s="1" t="n">
        <v>46230</v>
      </c>
      <c r="F830" t="inlineStr">
        <is>
          <t>GÄVLEBORGS LÄN</t>
        </is>
      </c>
      <c r="G830" t="inlineStr">
        <is>
          <t>GÄVLE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25466-2023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45089</v>
      </c>
      <c r="E831" s="1" t="n">
        <v>46230</v>
      </c>
      <c r="F831" t="inlineStr">
        <is>
          <t>GÄVLEBORGS LÄN</t>
        </is>
      </c>
      <c r="G831" t="inlineStr">
        <is>
          <t>GÄVLE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7060-2022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44603</v>
      </c>
      <c r="E832" s="1" t="n">
        <v>46230</v>
      </c>
      <c r="F832" t="inlineStr">
        <is>
          <t>GÄVLEBORGS LÄN</t>
        </is>
      </c>
      <c r="G832" t="inlineStr">
        <is>
          <t>GÄVLE</t>
        </is>
      </c>
      <c r="I832" t="n">
        <v>10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41708-2023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45176</v>
      </c>
      <c r="E833" s="1" t="n">
        <v>46230</v>
      </c>
      <c r="F833" t="inlineStr">
        <is>
          <t>GÄVLEBORGS LÄN</t>
        </is>
      </c>
      <c r="G833" t="inlineStr">
        <is>
          <t>GÄVLE</t>
        </is>
      </c>
      <c r="I833" t="n">
        <v>6.5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41712-2023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45176</v>
      </c>
      <c r="E834" s="1" t="n">
        <v>46230</v>
      </c>
      <c r="F834" t="inlineStr">
        <is>
          <t>GÄVLEBORGS LÄN</t>
        </is>
      </c>
      <c r="G834" t="inlineStr">
        <is>
          <t>GÄVLE</t>
        </is>
      </c>
      <c r="I834" t="n">
        <v>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5413-2023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44959</v>
      </c>
      <c r="E835" s="1" t="n">
        <v>46230</v>
      </c>
      <c r="F835" t="inlineStr">
        <is>
          <t>GÄVLEBORGS LÄN</t>
        </is>
      </c>
      <c r="G835" t="inlineStr">
        <is>
          <t>GÄVLE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46230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45660</v>
      </c>
      <c r="E837" s="1" t="n">
        <v>46230</v>
      </c>
      <c r="F837" t="inlineStr">
        <is>
          <t>GÄVLEBORGS LÄN</t>
        </is>
      </c>
      <c r="G837" t="inlineStr">
        <is>
          <t>GÄVLE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56138-2023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45240</v>
      </c>
      <c r="E838" s="1" t="n">
        <v>46230</v>
      </c>
      <c r="F838" t="inlineStr">
        <is>
          <t>GÄVLEBORGS LÄN</t>
        </is>
      </c>
      <c r="G838" t="inlineStr">
        <is>
          <t>GÄVLE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33635-2024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45520</v>
      </c>
      <c r="E839" s="1" t="n">
        <v>46230</v>
      </c>
      <c r="F839" t="inlineStr">
        <is>
          <t>GÄVLEBORGS LÄN</t>
        </is>
      </c>
      <c r="G839" t="inlineStr">
        <is>
          <t>GÄVLE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33637-2024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45520</v>
      </c>
      <c r="E840" s="1" t="n">
        <v>46230</v>
      </c>
      <c r="F840" t="inlineStr">
        <is>
          <t>GÄVLEBORGS LÄN</t>
        </is>
      </c>
      <c r="G840" t="inlineStr">
        <is>
          <t>GÄVLE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25645-2023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45089</v>
      </c>
      <c r="E841" s="1" t="n">
        <v>46230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7998-2023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44973</v>
      </c>
      <c r="E842" s="1" t="n">
        <v>46230</v>
      </c>
      <c r="F842" t="inlineStr">
        <is>
          <t>GÄVLEBORGS LÄN</t>
        </is>
      </c>
      <c r="G842" t="inlineStr">
        <is>
          <t>GÄVLE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54207-2023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45232</v>
      </c>
      <c r="E843" s="1" t="n">
        <v>46230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15935-2025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45749</v>
      </c>
      <c r="E844" s="1" t="n">
        <v>46230</v>
      </c>
      <c r="F844" t="inlineStr">
        <is>
          <t>GÄVLEBORGS LÄN</t>
        </is>
      </c>
      <c r="G844" t="inlineStr">
        <is>
          <t>GÄVLE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25814-2023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45090</v>
      </c>
      <c r="E845" s="1" t="n">
        <v>46230</v>
      </c>
      <c r="F845" t="inlineStr">
        <is>
          <t>GÄVLEBORGS LÄN</t>
        </is>
      </c>
      <c r="G845" t="inlineStr">
        <is>
          <t>GÄVLE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14792-2023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45014</v>
      </c>
      <c r="E846" s="1" t="n">
        <v>46230</v>
      </c>
      <c r="F846" t="inlineStr">
        <is>
          <t>GÄVLEBORGS LÄN</t>
        </is>
      </c>
      <c r="G846" t="inlineStr">
        <is>
          <t>GÄVLE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12079-2025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45728</v>
      </c>
      <c r="E847" s="1" t="n">
        <v>46230</v>
      </c>
      <c r="F847" t="inlineStr">
        <is>
          <t>GÄVLEBORGS LÄN</t>
        </is>
      </c>
      <c r="G847" t="inlineStr">
        <is>
          <t>GÄVLE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1594-2024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45306</v>
      </c>
      <c r="E848" s="1" t="n">
        <v>46230</v>
      </c>
      <c r="F848" t="inlineStr">
        <is>
          <t>GÄVLEBORGS LÄN</t>
        </is>
      </c>
      <c r="G848" t="inlineStr">
        <is>
          <t>GÄVLE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62983-2023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45272</v>
      </c>
      <c r="E849" s="1" t="n">
        <v>46230</v>
      </c>
      <c r="F849" t="inlineStr">
        <is>
          <t>GÄVLEBORGS LÄN</t>
        </is>
      </c>
      <c r="G849" t="inlineStr">
        <is>
          <t>GÄVLE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33901-2024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45523</v>
      </c>
      <c r="E850" s="1" t="n">
        <v>46230</v>
      </c>
      <c r="F850" t="inlineStr">
        <is>
          <t>GÄVLEBORGS LÄN</t>
        </is>
      </c>
      <c r="G850" t="inlineStr">
        <is>
          <t>GÄVLE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20621-2025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45776</v>
      </c>
      <c r="E851" s="1" t="n">
        <v>46230</v>
      </c>
      <c r="F851" t="inlineStr">
        <is>
          <t>GÄVLEBORGS LÄN</t>
        </is>
      </c>
      <c r="G851" t="inlineStr">
        <is>
          <t>GÄVLE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45938-2024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45580</v>
      </c>
      <c r="E852" s="1" t="n">
        <v>46230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21431-2025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45782</v>
      </c>
      <c r="E853" s="1" t="n">
        <v>46230</v>
      </c>
      <c r="F853" t="inlineStr">
        <is>
          <t>GÄVLEBORGS LÄN</t>
        </is>
      </c>
      <c r="G853" t="inlineStr">
        <is>
          <t>GÄVLE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7202-2025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45702</v>
      </c>
      <c r="E854" s="1" t="n">
        <v>46230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59044-2023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45252</v>
      </c>
      <c r="E855" s="1" t="n">
        <v>46230</v>
      </c>
      <c r="F855" t="inlineStr">
        <is>
          <t>GÄVLEBORGS LÄN</t>
        </is>
      </c>
      <c r="G855" t="inlineStr">
        <is>
          <t>GÄVLE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3862-2024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45322</v>
      </c>
      <c r="E856" s="1" t="n">
        <v>46230</v>
      </c>
      <c r="F856" t="inlineStr">
        <is>
          <t>GÄVLEBORGS LÄN</t>
        </is>
      </c>
      <c r="G856" t="inlineStr">
        <is>
          <t>GÄVLE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7451-2025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45705</v>
      </c>
      <c r="E857" s="1" t="n">
        <v>46230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23291-2025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45791</v>
      </c>
      <c r="E858" s="1" t="n">
        <v>46230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23232-2025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45791</v>
      </c>
      <c r="E859" s="1" t="n">
        <v>46230</v>
      </c>
      <c r="F859" t="inlineStr">
        <is>
          <t>GÄVLEBORGS LÄN</t>
        </is>
      </c>
      <c r="G859" t="inlineStr">
        <is>
          <t>GÄVLE</t>
        </is>
      </c>
      <c r="I859" t="n">
        <v>10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22879-2025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45790</v>
      </c>
      <c r="E860" s="1" t="n">
        <v>46230</v>
      </c>
      <c r="F860" t="inlineStr">
        <is>
          <t>GÄVLEBORGS LÄN</t>
        </is>
      </c>
      <c r="G860" t="inlineStr">
        <is>
          <t>GÄVLE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23324-2025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45791</v>
      </c>
      <c r="E861" s="1" t="n">
        <v>46230</v>
      </c>
      <c r="F861" t="inlineStr">
        <is>
          <t>GÄVLEBORGS LÄN</t>
        </is>
      </c>
      <c r="G861" t="inlineStr">
        <is>
          <t>GÄVLE</t>
        </is>
      </c>
      <c r="I861" t="n">
        <v>6.2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22923-2025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45790</v>
      </c>
      <c r="E862" s="1" t="n">
        <v>46230</v>
      </c>
      <c r="F862" t="inlineStr">
        <is>
          <t>GÄVLEBORGS LÄN</t>
        </is>
      </c>
      <c r="G862" t="inlineStr">
        <is>
          <t>GÄVLE</t>
        </is>
      </c>
      <c r="I862" t="n">
        <v>20.8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45660</v>
      </c>
      <c r="E863" s="1" t="n">
        <v>46230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24228-2025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45797</v>
      </c>
      <c r="E864" s="1" t="n">
        <v>46230</v>
      </c>
      <c r="F864" t="inlineStr">
        <is>
          <t>GÄVLEBORGS LÄN</t>
        </is>
      </c>
      <c r="G864" t="inlineStr">
        <is>
          <t>GÄVLE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55878-2024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45623</v>
      </c>
      <c r="E865" s="1" t="n">
        <v>46230</v>
      </c>
      <c r="F865" t="inlineStr">
        <is>
          <t>GÄVLEBORGS LÄN</t>
        </is>
      </c>
      <c r="G865" t="inlineStr">
        <is>
          <t>GÄVLE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48913-2024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45594</v>
      </c>
      <c r="E866" s="1" t="n">
        <v>46230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24225-2025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45797</v>
      </c>
      <c r="E867" s="1" t="n">
        <v>46230</v>
      </c>
      <c r="F867" t="inlineStr">
        <is>
          <t>GÄVLEBORGS LÄN</t>
        </is>
      </c>
      <c r="G867" t="inlineStr">
        <is>
          <t>GÄVLE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58373-2024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45632</v>
      </c>
      <c r="E868" s="1" t="n">
        <v>46230</v>
      </c>
      <c r="F868" t="inlineStr">
        <is>
          <t>GÄVLEBORGS LÄN</t>
        </is>
      </c>
      <c r="G868" t="inlineStr">
        <is>
          <t>GÄVLE</t>
        </is>
      </c>
      <c r="I868" t="n">
        <v>13.1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31367-2024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45505</v>
      </c>
      <c r="E869" s="1" t="n">
        <v>46230</v>
      </c>
      <c r="F869" t="inlineStr">
        <is>
          <t>GÄVLEBORGS LÄN</t>
        </is>
      </c>
      <c r="G869" t="inlineStr">
        <is>
          <t>GÄVLE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24614-2025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45798</v>
      </c>
      <c r="E870" s="1" t="n">
        <v>46230</v>
      </c>
      <c r="F870" t="inlineStr">
        <is>
          <t>GÄVLEBORGS LÄN</t>
        </is>
      </c>
      <c r="G870" t="inlineStr">
        <is>
          <t>GÄVLE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26564-2022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44739</v>
      </c>
      <c r="E871" s="1" t="n">
        <v>46230</v>
      </c>
      <c r="F871" t="inlineStr">
        <is>
          <t>GÄVLEBORGS LÄN</t>
        </is>
      </c>
      <c r="G871" t="inlineStr">
        <is>
          <t>GÄVLE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25878-2025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45804</v>
      </c>
      <c r="E872" s="1" t="n">
        <v>46230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27666-2025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45813</v>
      </c>
      <c r="E873" s="1" t="n">
        <v>46230</v>
      </c>
      <c r="F873" t="inlineStr">
        <is>
          <t>GÄVLEBORGS LÄN</t>
        </is>
      </c>
      <c r="G873" t="inlineStr">
        <is>
          <t>GÄVLE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27611-2025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45813</v>
      </c>
      <c r="E874" s="1" t="n">
        <v>46230</v>
      </c>
      <c r="F874" t="inlineStr">
        <is>
          <t>GÄVLEBORGS LÄN</t>
        </is>
      </c>
      <c r="G874" t="inlineStr">
        <is>
          <t>GÄVLE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28009-2025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45817</v>
      </c>
      <c r="E875" s="1" t="n">
        <v>46230</v>
      </c>
      <c r="F875" t="inlineStr">
        <is>
          <t>GÄVLEBORGS LÄN</t>
        </is>
      </c>
      <c r="G875" t="inlineStr">
        <is>
          <t>GÄVLE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28481-2025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45819</v>
      </c>
      <c r="E876" s="1" t="n">
        <v>46230</v>
      </c>
      <c r="F876" t="inlineStr">
        <is>
          <t>GÄVLEBORGS LÄN</t>
        </is>
      </c>
      <c r="G876" t="inlineStr">
        <is>
          <t>GÄVLE</t>
        </is>
      </c>
      <c r="I876" t="n">
        <v>13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28624-2025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45819</v>
      </c>
      <c r="E877" s="1" t="n">
        <v>46230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30301-2025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46230</v>
      </c>
      <c r="F878" t="inlineStr">
        <is>
          <t>GÄVLEBORGS LÄN</t>
        </is>
      </c>
      <c r="G878" t="inlineStr">
        <is>
          <t>GÄVLE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30202-2025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45827</v>
      </c>
      <c r="E879" s="1" t="n">
        <v>46230</v>
      </c>
      <c r="F879" t="inlineStr">
        <is>
          <t>GÄVLEBORGS LÄN</t>
        </is>
      </c>
      <c r="G879" t="inlineStr">
        <is>
          <t>GÄVLE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14563-2025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45741</v>
      </c>
      <c r="E880" s="1" t="n">
        <v>46230</v>
      </c>
      <c r="F880" t="inlineStr">
        <is>
          <t>GÄVLEBORGS LÄN</t>
        </is>
      </c>
      <c r="G880" t="inlineStr">
        <is>
          <t>GÄVLE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30300-2025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45827</v>
      </c>
      <c r="E881" s="1" t="n">
        <v>46230</v>
      </c>
      <c r="F881" t="inlineStr">
        <is>
          <t>GÄVLEBORGS LÄN</t>
        </is>
      </c>
      <c r="G881" t="inlineStr">
        <is>
          <t>GÄVLE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30304-2025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46230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30915-2025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45832</v>
      </c>
      <c r="E883" s="1" t="n">
        <v>46230</v>
      </c>
      <c r="F883" t="inlineStr">
        <is>
          <t>GÄVLEBORGS LÄN</t>
        </is>
      </c>
      <c r="G883" t="inlineStr">
        <is>
          <t>GÄVLE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31920-2025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45834</v>
      </c>
      <c r="E884" s="1" t="n">
        <v>46230</v>
      </c>
      <c r="F884" t="inlineStr">
        <is>
          <t>GÄVLEBORGS LÄN</t>
        </is>
      </c>
      <c r="G884" t="inlineStr">
        <is>
          <t>GÄVLE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32022-2025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45835</v>
      </c>
      <c r="E885" s="1" t="n">
        <v>46230</v>
      </c>
      <c r="F885" t="inlineStr">
        <is>
          <t>GÄVLEBORGS LÄN</t>
        </is>
      </c>
      <c r="G885" t="inlineStr">
        <is>
          <t>GÄVLE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21978-2025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45784</v>
      </c>
      <c r="E886" s="1" t="n">
        <v>46230</v>
      </c>
      <c r="F886" t="inlineStr">
        <is>
          <t>GÄVLEBORGS LÄN</t>
        </is>
      </c>
      <c r="G886" t="inlineStr">
        <is>
          <t>GÄVLE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34116-2025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45845</v>
      </c>
      <c r="E887" s="1" t="n">
        <v>46230</v>
      </c>
      <c r="F887" t="inlineStr">
        <is>
          <t>GÄVLEBORGS LÄN</t>
        </is>
      </c>
      <c r="G887" t="inlineStr">
        <is>
          <t>GÄVLE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34113-2025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45845</v>
      </c>
      <c r="E888" s="1" t="n">
        <v>46230</v>
      </c>
      <c r="F888" t="inlineStr">
        <is>
          <t>GÄVLEBORGS LÄN</t>
        </is>
      </c>
      <c r="G888" t="inlineStr">
        <is>
          <t>GÄVLE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34725-2025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45848</v>
      </c>
      <c r="E889" s="1" t="n">
        <v>46230</v>
      </c>
      <c r="F889" t="inlineStr">
        <is>
          <t>GÄVLEBORGS LÄN</t>
        </is>
      </c>
      <c r="G889" t="inlineStr">
        <is>
          <t>GÄVLE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34722-2025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45848</v>
      </c>
      <c r="E890" s="1" t="n">
        <v>46230</v>
      </c>
      <c r="F890" t="inlineStr">
        <is>
          <t>GÄVLEBORGS LÄN</t>
        </is>
      </c>
      <c r="G890" t="inlineStr">
        <is>
          <t>GÄVLE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37253-2024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45540</v>
      </c>
      <c r="E891" s="1" t="n">
        <v>46230</v>
      </c>
      <c r="F891" t="inlineStr">
        <is>
          <t>GÄVLEBORGS LÄN</t>
        </is>
      </c>
      <c r="G891" t="inlineStr">
        <is>
          <t>GÄVLE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35337-2025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45854</v>
      </c>
      <c r="E892" s="1" t="n">
        <v>46230</v>
      </c>
      <c r="F892" t="inlineStr">
        <is>
          <t>GÄVLEBORGS LÄN</t>
        </is>
      </c>
      <c r="G892" t="inlineStr">
        <is>
          <t>GÄVLE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35650-2025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45859</v>
      </c>
      <c r="E893" s="1" t="n">
        <v>46230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35878-2025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45862</v>
      </c>
      <c r="E894" s="1" t="n">
        <v>46230</v>
      </c>
      <c r="F894" t="inlineStr">
        <is>
          <t>GÄVLEBORGS LÄN</t>
        </is>
      </c>
      <c r="G894" t="inlineStr">
        <is>
          <t>GÄVLE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35938-2025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45862</v>
      </c>
      <c r="E895" s="1" t="n">
        <v>46230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35919-2025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45862</v>
      </c>
      <c r="E896" s="1" t="n">
        <v>46230</v>
      </c>
      <c r="F896" t="inlineStr">
        <is>
          <t>GÄVLEBORGS LÄN</t>
        </is>
      </c>
      <c r="G896" t="inlineStr">
        <is>
          <t>GÄVLE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36106-2025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45866</v>
      </c>
      <c r="E897" s="1" t="n">
        <v>46230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36255-2025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45867</v>
      </c>
      <c r="E898" s="1" t="n">
        <v>46230</v>
      </c>
      <c r="F898" t="inlineStr">
        <is>
          <t>GÄVLEBORGS LÄN</t>
        </is>
      </c>
      <c r="G898" t="inlineStr">
        <is>
          <t>GÄVLE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36493-2025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45869</v>
      </c>
      <c r="E899" s="1" t="n">
        <v>46230</v>
      </c>
      <c r="F899" t="inlineStr">
        <is>
          <t>GÄVLEBORGS LÄN</t>
        </is>
      </c>
      <c r="G899" t="inlineStr">
        <is>
          <t>GÄVLE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36516-2025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45869</v>
      </c>
      <c r="E900" s="1" t="n">
        <v>46230</v>
      </c>
      <c r="F900" t="inlineStr">
        <is>
          <t>GÄVLEBORGS LÄN</t>
        </is>
      </c>
      <c r="G900" t="inlineStr">
        <is>
          <t>GÄVLE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46230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  <c r="Z901">
        <f>HYPERLINK("https://klasma.github.io/Logging_2180/knärot/S 3425-2023 karta knärot.png", "S 3425-2023")</f>
        <v/>
      </c>
      <c r="AA901">
        <f>HYPERLINK("https://klasma.github.io/Logging_2180/klagomål/S 3425-2023 FSC-klagomål.docx", "S 3425-2023")</f>
        <v/>
      </c>
      <c r="AB901">
        <f>HYPERLINK("https://klasma.github.io/Logging_2180/klagomålsmail/S 3425-2023 FSC-klagomål mail.docx", "S 3425-2023")</f>
        <v/>
      </c>
      <c r="AC901">
        <f>HYPERLINK("https://klasma.github.io/Logging_2180/tillsyn/S 3425-2023 tillsynsbegäran.docx", "S 3425-2023")</f>
        <v/>
      </c>
      <c r="AD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46230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46230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46230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46230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2026-07-27T01:51:47Z</dcterms:created>
  <dcterms:modified xmlns:dcterms="http://purl.org/dc/terms/" xmlns:xsi="http://www.w3.org/2001/XMLSchema-instance" xsi:type="dcterms:W3CDTF">2026-07-27T01:51:48Z</dcterms:modified>
</cp:coreProperties>
</file>