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45584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45584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45584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45584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45584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45584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45584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45584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45584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45584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45584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45584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45584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45584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45584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45584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45584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45584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45584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45584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45584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45584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45584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45584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45584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67418-2019</t>
        </is>
      </c>
      <c r="B27" s="1" t="n">
        <v>43812</v>
      </c>
      <c r="C27" s="1" t="n">
        <v>45584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7.4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HYPERLINK("https://klasma.github.io/Logging_2180/artfynd/A 67418-2019 artfynd.xlsx", "A 67418-2019")</f>
        <v/>
      </c>
      <c r="T27">
        <f>HYPERLINK("https://klasma.github.io/Logging_2180/kartor/A 67418-2019 karta.png", "A 67418-2019")</f>
        <v/>
      </c>
      <c r="V27">
        <f>HYPERLINK("https://klasma.github.io/Logging_2180/klagomål/A 67418-2019 FSC-klagomål.docx", "A 67418-2019")</f>
        <v/>
      </c>
      <c r="W27">
        <f>HYPERLINK("https://klasma.github.io/Logging_2180/klagomålsmail/A 67418-2019 FSC-klagomål mail.docx", "A 67418-2019")</f>
        <v/>
      </c>
      <c r="X27">
        <f>HYPERLINK("https://klasma.github.io/Logging_2180/tillsyn/A 67418-2019 tillsynsbegäran.docx", "A 67418-2019")</f>
        <v/>
      </c>
      <c r="Y27">
        <f>HYPERLINK("https://klasma.github.io/Logging_2180/tillsynsmail/A 67418-2019 tillsynsbegäran mail.docx", "A 67418-2019")</f>
        <v/>
      </c>
    </row>
    <row r="28" ht="15" customHeight="1">
      <c r="A28" t="inlineStr">
        <is>
          <t>A 58168-2020</t>
        </is>
      </c>
      <c r="B28" s="1" t="n">
        <v>44144</v>
      </c>
      <c r="C28" s="1" t="n">
        <v>45584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3.7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HYPERLINK("https://klasma.github.io/Logging_2180/artfynd/A 58168-2020 artfynd.xlsx", "A 58168-2020")</f>
        <v/>
      </c>
      <c r="T28">
        <f>HYPERLINK("https://klasma.github.io/Logging_2180/kartor/A 58168-2020 karta.png", "A 58168-2020")</f>
        <v/>
      </c>
      <c r="U28">
        <f>HYPERLINK("https://klasma.github.io/Logging_2180/knärot/A 58168-2020 karta knärot.png", "A 58168-2020")</f>
        <v/>
      </c>
      <c r="V28">
        <f>HYPERLINK("https://klasma.github.io/Logging_2180/klagomål/A 58168-2020 FSC-klagomål.docx", "A 58168-2020")</f>
        <v/>
      </c>
      <c r="W28">
        <f>HYPERLINK("https://klasma.github.io/Logging_2180/klagomålsmail/A 58168-2020 FSC-klagomål mail.docx", "A 58168-2020")</f>
        <v/>
      </c>
      <c r="X28">
        <f>HYPERLINK("https://klasma.github.io/Logging_2180/tillsyn/A 58168-2020 tillsynsbegäran.docx", "A 58168-2020")</f>
        <v/>
      </c>
      <c r="Y28">
        <f>HYPERLINK("https://klasma.github.io/Logging_2180/tillsynsmail/A 58168-2020 tillsynsbegäran mail.docx", "A 58168-2020")</f>
        <v/>
      </c>
    </row>
    <row r="29" ht="15" customHeight="1">
      <c r="A29" t="inlineStr">
        <is>
          <t>A 62316-2020</t>
        </is>
      </c>
      <c r="B29" s="1" t="n">
        <v>44160</v>
      </c>
      <c r="C29" s="1" t="n">
        <v>45584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HYPERLINK("https://klasma.github.io/Logging_2180/artfynd/A 62316-2020 artfynd.xlsx", "A 62316-2020")</f>
        <v/>
      </c>
      <c r="T29">
        <f>HYPERLINK("https://klasma.github.io/Logging_2180/kartor/A 62316-2020 karta.png", "A 62316-2020")</f>
        <v/>
      </c>
      <c r="V29">
        <f>HYPERLINK("https://klasma.github.io/Logging_2180/klagomål/A 62316-2020 FSC-klagomål.docx", "A 62316-2020")</f>
        <v/>
      </c>
      <c r="W29">
        <f>HYPERLINK("https://klasma.github.io/Logging_2180/klagomålsmail/A 62316-2020 FSC-klagomål mail.docx", "A 62316-2020")</f>
        <v/>
      </c>
      <c r="X29">
        <f>HYPERLINK("https://klasma.github.io/Logging_2180/tillsyn/A 62316-2020 tillsynsbegäran.docx", "A 62316-2020")</f>
        <v/>
      </c>
      <c r="Y29">
        <f>HYPERLINK("https://klasma.github.io/Logging_2180/tillsynsmail/A 62316-2020 tillsynsbegäran mail.docx", "A 62316-2020")</f>
        <v/>
      </c>
    </row>
    <row r="30" ht="15" customHeight="1">
      <c r="A30" t="inlineStr">
        <is>
          <t>A 69255-2020</t>
        </is>
      </c>
      <c r="B30" s="1" t="n">
        <v>44192</v>
      </c>
      <c r="C30" s="1" t="n">
        <v>45584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Blackticka</t>
        </is>
      </c>
      <c r="S30">
        <f>HYPERLINK("https://klasma.github.io/Logging_2180/artfynd/A 69255-2020 artfynd.xlsx", "A 69255-2020")</f>
        <v/>
      </c>
      <c r="T30">
        <f>HYPERLINK("https://klasma.github.io/Logging_2180/kartor/A 69255-2020 karta.png", "A 69255-2020")</f>
        <v/>
      </c>
      <c r="U30">
        <f>HYPERLINK("https://klasma.github.io/Logging_2180/knärot/A 69255-2020 karta knärot.png", "A 69255-2020")</f>
        <v/>
      </c>
      <c r="V30">
        <f>HYPERLINK("https://klasma.github.io/Logging_2180/klagomål/A 69255-2020 FSC-klagomål.docx", "A 69255-2020")</f>
        <v/>
      </c>
      <c r="W30">
        <f>HYPERLINK("https://klasma.github.io/Logging_2180/klagomålsmail/A 69255-2020 FSC-klagomål mail.docx", "A 69255-2020")</f>
        <v/>
      </c>
      <c r="X30">
        <f>HYPERLINK("https://klasma.github.io/Logging_2180/tillsyn/A 69255-2020 tillsynsbegäran.docx", "A 69255-2020")</f>
        <v/>
      </c>
      <c r="Y30">
        <f>HYPERLINK("https://klasma.github.io/Logging_2180/tillsynsmail/A 69255-2020 tillsynsbegäran mail.docx", "A 69255-2020")</f>
        <v/>
      </c>
    </row>
    <row r="31" ht="15" customHeight="1">
      <c r="A31" t="inlineStr">
        <is>
          <t>A 14569-2021</t>
        </is>
      </c>
      <c r="B31" s="1" t="n">
        <v>44279</v>
      </c>
      <c r="C31" s="1" t="n">
        <v>45584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HYPERLINK("https://klasma.github.io/Logging_2180/artfynd/A 14569-2021 artfynd.xlsx", "A 14569-2021")</f>
        <v/>
      </c>
      <c r="T31">
        <f>HYPERLINK("https://klasma.github.io/Logging_2180/kartor/A 14569-2021 karta.png", "A 14569-2021")</f>
        <v/>
      </c>
      <c r="V31">
        <f>HYPERLINK("https://klasma.github.io/Logging_2180/klagomål/A 14569-2021 FSC-klagomål.docx", "A 14569-2021")</f>
        <v/>
      </c>
      <c r="W31">
        <f>HYPERLINK("https://klasma.github.io/Logging_2180/klagomålsmail/A 14569-2021 FSC-klagomål mail.docx", "A 14569-2021")</f>
        <v/>
      </c>
      <c r="X31">
        <f>HYPERLINK("https://klasma.github.io/Logging_2180/tillsyn/A 14569-2021 tillsynsbegäran.docx", "A 14569-2021")</f>
        <v/>
      </c>
      <c r="Y31">
        <f>HYPERLINK("https://klasma.github.io/Logging_2180/tillsynsmail/A 14569-2021 tillsynsbegäran mail.docx", "A 14569-2021")</f>
        <v/>
      </c>
    </row>
    <row r="32" ht="15" customHeight="1">
      <c r="A32" t="inlineStr">
        <is>
          <t>A 40986-2021</t>
        </is>
      </c>
      <c r="B32" s="1" t="n">
        <v>44421</v>
      </c>
      <c r="C32" s="1" t="n">
        <v>45584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5.7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HYPERLINK("https://klasma.github.io/Logging_2180/artfynd/A 40986-2021 artfynd.xlsx", "A 40986-2021")</f>
        <v/>
      </c>
      <c r="T32">
        <f>HYPERLINK("https://klasma.github.io/Logging_2180/kartor/A 40986-2021 karta.png", "A 40986-2021")</f>
        <v/>
      </c>
      <c r="V32">
        <f>HYPERLINK("https://klasma.github.io/Logging_2180/klagomål/A 40986-2021 FSC-klagomål.docx", "A 40986-2021")</f>
        <v/>
      </c>
      <c r="W32">
        <f>HYPERLINK("https://klasma.github.io/Logging_2180/klagomålsmail/A 40986-2021 FSC-klagomål mail.docx", "A 40986-2021")</f>
        <v/>
      </c>
      <c r="X32">
        <f>HYPERLINK("https://klasma.github.io/Logging_2180/tillsyn/A 40986-2021 tillsynsbegäran.docx", "A 40986-2021")</f>
        <v/>
      </c>
      <c r="Y32">
        <f>HYPERLINK("https://klasma.github.io/Logging_2180/tillsynsmail/A 40986-2021 tillsynsbegäran mail.docx", "A 40986-2021")</f>
        <v/>
      </c>
      <c r="Z32">
        <f>HYPERLINK("https://klasma.github.io/Logging_2180/fåglar/A 40986-2021 prioriterade fågelarter.docx", "A 40986-2021")</f>
        <v/>
      </c>
    </row>
    <row r="33" ht="15" customHeight="1">
      <c r="A33" t="inlineStr">
        <is>
          <t>A 59225-2021</t>
        </is>
      </c>
      <c r="B33" s="1" t="n">
        <v>44490</v>
      </c>
      <c r="C33" s="1" t="n">
        <v>45584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HYPERLINK("https://klasma.github.io/Logging_2180/artfynd/A 59225-2021 artfynd.xlsx", "A 59225-2021")</f>
        <v/>
      </c>
      <c r="T33">
        <f>HYPERLINK("https://klasma.github.io/Logging_2180/kartor/A 59225-2021 karta.png", "A 59225-2021")</f>
        <v/>
      </c>
      <c r="V33">
        <f>HYPERLINK("https://klasma.github.io/Logging_2180/klagomål/A 59225-2021 FSC-klagomål.docx", "A 59225-2021")</f>
        <v/>
      </c>
      <c r="W33">
        <f>HYPERLINK("https://klasma.github.io/Logging_2180/klagomålsmail/A 59225-2021 FSC-klagomål mail.docx", "A 59225-2021")</f>
        <v/>
      </c>
      <c r="X33">
        <f>HYPERLINK("https://klasma.github.io/Logging_2180/tillsyn/A 59225-2021 tillsynsbegäran.docx", "A 59225-2021")</f>
        <v/>
      </c>
      <c r="Y33">
        <f>HYPERLINK("https://klasma.github.io/Logging_2180/tillsynsmail/A 59225-2021 tillsynsbegäran mail.docx", "A 59225-2021")</f>
        <v/>
      </c>
    </row>
    <row r="34" ht="15" customHeight="1">
      <c r="A34" t="inlineStr">
        <is>
          <t>A 66495-2021</t>
        </is>
      </c>
      <c r="B34" s="1" t="n">
        <v>44519</v>
      </c>
      <c r="C34" s="1" t="n">
        <v>45584</v>
      </c>
      <c r="D34" t="inlineStr">
        <is>
          <t>GÄVLEBORGS LÄN</t>
        </is>
      </c>
      <c r="E34" t="inlineStr">
        <is>
          <t>GÄVLE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66495-2021 artfynd.xlsx", "A 66495-2021")</f>
        <v/>
      </c>
      <c r="T34">
        <f>HYPERLINK("https://klasma.github.io/Logging_2180/kartor/A 66495-2021 karta.png", "A 66495-2021")</f>
        <v/>
      </c>
      <c r="V34">
        <f>HYPERLINK("https://klasma.github.io/Logging_2180/klagomål/A 66495-2021 FSC-klagomål.docx", "A 66495-2021")</f>
        <v/>
      </c>
      <c r="W34">
        <f>HYPERLINK("https://klasma.github.io/Logging_2180/klagomålsmail/A 66495-2021 FSC-klagomål mail.docx", "A 66495-2021")</f>
        <v/>
      </c>
      <c r="X34">
        <f>HYPERLINK("https://klasma.github.io/Logging_2180/tillsyn/A 66495-2021 tillsynsbegäran.docx", "A 66495-2021")</f>
        <v/>
      </c>
      <c r="Y34">
        <f>HYPERLINK("https://klasma.github.io/Logging_2180/tillsynsmail/A 66495-2021 tillsynsbegäran mail.docx", "A 66495-2021")</f>
        <v/>
      </c>
    </row>
    <row r="35" ht="15" customHeight="1">
      <c r="A35" t="inlineStr">
        <is>
          <t>A 6779-2022</t>
        </is>
      </c>
      <c r="B35" s="1" t="n">
        <v>44602</v>
      </c>
      <c r="C35" s="1" t="n">
        <v>45584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HYPERLINK("https://klasma.github.io/Logging_2180/artfynd/A 6779-2022 artfynd.xlsx", "A 6779-2022")</f>
        <v/>
      </c>
      <c r="T35">
        <f>HYPERLINK("https://klasma.github.io/Logging_2180/kartor/A 6779-2022 karta.png", "A 6779-2022")</f>
        <v/>
      </c>
      <c r="V35">
        <f>HYPERLINK("https://klasma.github.io/Logging_2180/klagomål/A 6779-2022 FSC-klagomål.docx", "A 6779-2022")</f>
        <v/>
      </c>
      <c r="W35">
        <f>HYPERLINK("https://klasma.github.io/Logging_2180/klagomålsmail/A 6779-2022 FSC-klagomål mail.docx", "A 6779-2022")</f>
        <v/>
      </c>
      <c r="X35">
        <f>HYPERLINK("https://klasma.github.io/Logging_2180/tillsyn/A 6779-2022 tillsynsbegäran.docx", "A 6779-2022")</f>
        <v/>
      </c>
      <c r="Y35">
        <f>HYPERLINK("https://klasma.github.io/Logging_2180/tillsynsmail/A 6779-2022 tillsynsbegäran mail.docx", "A 6779-2022")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45584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23511-2022</t>
        </is>
      </c>
      <c r="B37" s="1" t="n">
        <v>44721</v>
      </c>
      <c r="C37" s="1" t="n">
        <v>45584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HYPERLINK("https://klasma.github.io/Logging_2180/artfynd/A 23511-2022 artfynd.xlsx", "A 23511-2022")</f>
        <v/>
      </c>
      <c r="T37">
        <f>HYPERLINK("https://klasma.github.io/Logging_2180/kartor/A 23511-2022 karta.png", "A 23511-2022")</f>
        <v/>
      </c>
      <c r="V37">
        <f>HYPERLINK("https://klasma.github.io/Logging_2180/klagomål/A 23511-2022 FSC-klagomål.docx", "A 23511-2022")</f>
        <v/>
      </c>
      <c r="W37">
        <f>HYPERLINK("https://klasma.github.io/Logging_2180/klagomålsmail/A 23511-2022 FSC-klagomål mail.docx", "A 23511-2022")</f>
        <v/>
      </c>
      <c r="X37">
        <f>HYPERLINK("https://klasma.github.io/Logging_2180/tillsyn/A 23511-2022 tillsynsbegäran.docx", "A 23511-2022")</f>
        <v/>
      </c>
      <c r="Y37">
        <f>HYPERLINK("https://klasma.github.io/Logging_2180/tillsynsmail/A 23511-2022 tillsynsbegäran mail.docx", "A 23511-2022")</f>
        <v/>
      </c>
    </row>
    <row r="38" ht="15" customHeight="1">
      <c r="A38" t="inlineStr">
        <is>
          <t>A 33812-2022</t>
        </is>
      </c>
      <c r="B38" s="1" t="n">
        <v>44790</v>
      </c>
      <c r="C38" s="1" t="n">
        <v>45584</v>
      </c>
      <c r="D38" t="inlineStr">
        <is>
          <t>GÄVLEBORGS LÄN</t>
        </is>
      </c>
      <c r="E38" t="inlineStr">
        <is>
          <t>GÄVLE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HYPERLINK("https://klasma.github.io/Logging_2180/artfynd/A 33812-2022 artfynd.xlsx", "A 33812-2022")</f>
        <v/>
      </c>
      <c r="T38">
        <f>HYPERLINK("https://klasma.github.io/Logging_2180/kartor/A 33812-2022 karta.png", "A 33812-2022")</f>
        <v/>
      </c>
      <c r="V38">
        <f>HYPERLINK("https://klasma.github.io/Logging_2180/klagomål/A 33812-2022 FSC-klagomål.docx", "A 33812-2022")</f>
        <v/>
      </c>
      <c r="W38">
        <f>HYPERLINK("https://klasma.github.io/Logging_2180/klagomålsmail/A 33812-2022 FSC-klagomål mail.docx", "A 33812-2022")</f>
        <v/>
      </c>
      <c r="X38">
        <f>HYPERLINK("https://klasma.github.io/Logging_2180/tillsyn/A 33812-2022 tillsynsbegäran.docx", "A 33812-2022")</f>
        <v/>
      </c>
      <c r="Y38">
        <f>HYPERLINK("https://klasma.github.io/Logging_2180/tillsynsmail/A 33812-2022 tillsynsbegäran mail.docx", "A 33812-2022")</f>
        <v/>
      </c>
    </row>
    <row r="39" ht="15" customHeight="1">
      <c r="A39" t="inlineStr">
        <is>
          <t>A 37927-2022</t>
        </is>
      </c>
      <c r="B39" s="1" t="n">
        <v>44811</v>
      </c>
      <c r="C39" s="1" t="n">
        <v>45584</v>
      </c>
      <c r="D39" t="inlineStr">
        <is>
          <t>GÄVLEBORGS LÄN</t>
        </is>
      </c>
      <c r="E39" t="inlineStr">
        <is>
          <t>GÄVLE</t>
        </is>
      </c>
      <c r="G39" t="n">
        <v>1.6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37927-2022 artfynd.xlsx", "A 37927-2022")</f>
        <v/>
      </c>
      <c r="T39">
        <f>HYPERLINK("https://klasma.github.io/Logging_2180/kartor/A 37927-2022 karta.png", "A 37927-2022")</f>
        <v/>
      </c>
      <c r="U39">
        <f>HYPERLINK("https://klasma.github.io/Logging_2180/knärot/A 37927-2022 karta knärot.png", "A 37927-2022")</f>
        <v/>
      </c>
      <c r="V39">
        <f>HYPERLINK("https://klasma.github.io/Logging_2180/klagomål/A 37927-2022 FSC-klagomål.docx", "A 37927-2022")</f>
        <v/>
      </c>
      <c r="W39">
        <f>HYPERLINK("https://klasma.github.io/Logging_2180/klagomålsmail/A 37927-2022 FSC-klagomål mail.docx", "A 37927-2022")</f>
        <v/>
      </c>
      <c r="X39">
        <f>HYPERLINK("https://klasma.github.io/Logging_2180/tillsyn/A 37927-2022 tillsynsbegäran.docx", "A 37927-2022")</f>
        <v/>
      </c>
      <c r="Y39">
        <f>HYPERLINK("https://klasma.github.io/Logging_2180/tillsynsmail/A 37927-2022 tillsynsbegäran mail.docx", "A 37927-2022")</f>
        <v/>
      </c>
    </row>
    <row r="40" ht="15" customHeight="1">
      <c r="A40" t="inlineStr">
        <is>
          <t>A 45241-2022</t>
        </is>
      </c>
      <c r="B40" s="1" t="n">
        <v>44840</v>
      </c>
      <c r="C40" s="1" t="n">
        <v>45584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22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45241-2022 artfynd.xlsx", "A 45241-2022")</f>
        <v/>
      </c>
      <c r="T40">
        <f>HYPERLINK("https://klasma.github.io/Logging_2180/kartor/A 45241-2022 karta.png", "A 45241-2022")</f>
        <v/>
      </c>
      <c r="V40">
        <f>HYPERLINK("https://klasma.github.io/Logging_2180/klagomål/A 45241-2022 FSC-klagomål.docx", "A 45241-2022")</f>
        <v/>
      </c>
      <c r="W40">
        <f>HYPERLINK("https://klasma.github.io/Logging_2180/klagomålsmail/A 45241-2022 FSC-klagomål mail.docx", "A 45241-2022")</f>
        <v/>
      </c>
      <c r="X40">
        <f>HYPERLINK("https://klasma.github.io/Logging_2180/tillsyn/A 45241-2022 tillsynsbegäran.docx", "A 45241-2022")</f>
        <v/>
      </c>
      <c r="Y40">
        <f>HYPERLINK("https://klasma.github.io/Logging_2180/tillsynsmail/A 45241-2022 tillsynsbegäran mail.docx", "A 45241-2022")</f>
        <v/>
      </c>
    </row>
    <row r="41" ht="15" customHeight="1">
      <c r="A41" t="inlineStr">
        <is>
          <t>A 8622-2023</t>
        </is>
      </c>
      <c r="B41" s="1" t="n">
        <v>44977</v>
      </c>
      <c r="C41" s="1" t="n">
        <v>45584</v>
      </c>
      <c r="D41" t="inlineStr">
        <is>
          <t>GÄVLEBORGS LÄN</t>
        </is>
      </c>
      <c r="E41" t="inlineStr">
        <is>
          <t>GÄVLE</t>
        </is>
      </c>
      <c r="G41" t="n">
        <v>9.199999999999999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8622-2023 artfynd.xlsx", "A 8622-2023")</f>
        <v/>
      </c>
      <c r="T41">
        <f>HYPERLINK("https://klasma.github.io/Logging_2180/kartor/A 8622-2023 karta.png", "A 8622-2023")</f>
        <v/>
      </c>
      <c r="U41">
        <f>HYPERLINK("https://klasma.github.io/Logging_2180/knärot/A 8622-2023 karta knärot.png", "A 8622-2023")</f>
        <v/>
      </c>
      <c r="V41">
        <f>HYPERLINK("https://klasma.github.io/Logging_2180/klagomål/A 8622-2023 FSC-klagomål.docx", "A 8622-2023")</f>
        <v/>
      </c>
      <c r="W41">
        <f>HYPERLINK("https://klasma.github.io/Logging_2180/klagomålsmail/A 8622-2023 FSC-klagomål mail.docx", "A 8622-2023")</f>
        <v/>
      </c>
      <c r="X41">
        <f>HYPERLINK("https://klasma.github.io/Logging_2180/tillsyn/A 8622-2023 tillsynsbegäran.docx", "A 8622-2023")</f>
        <v/>
      </c>
      <c r="Y41">
        <f>HYPERLINK("https://klasma.github.io/Logging_2180/tillsynsmail/A 8622-2023 tillsynsbegäran mail.docx", "A 8622-2023")</f>
        <v/>
      </c>
    </row>
    <row r="42" ht="15" customHeight="1">
      <c r="A42" t="inlineStr">
        <is>
          <t>A 29821-2023</t>
        </is>
      </c>
      <c r="B42" s="1" t="n">
        <v>45107</v>
      </c>
      <c r="C42" s="1" t="n">
        <v>45584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45584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51550-2023</t>
        </is>
      </c>
      <c r="B44" s="1" t="n">
        <v>45222</v>
      </c>
      <c r="C44" s="1" t="n">
        <v>45584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51550-2023 artfynd.xlsx", "A 51550-2023")</f>
        <v/>
      </c>
      <c r="T44">
        <f>HYPERLINK("https://klasma.github.io/Logging_2180/kartor/A 51550-2023 karta.png", "A 51550-2023")</f>
        <v/>
      </c>
      <c r="V44">
        <f>HYPERLINK("https://klasma.github.io/Logging_2180/klagomål/A 51550-2023 FSC-klagomål.docx", "A 51550-2023")</f>
        <v/>
      </c>
      <c r="W44">
        <f>HYPERLINK("https://klasma.github.io/Logging_2180/klagomålsmail/A 51550-2023 FSC-klagomål mail.docx", "A 51550-2023")</f>
        <v/>
      </c>
      <c r="X44">
        <f>HYPERLINK("https://klasma.github.io/Logging_2180/tillsyn/A 51550-2023 tillsynsbegäran.docx", "A 51550-2023")</f>
        <v/>
      </c>
      <c r="Y44">
        <f>HYPERLINK("https://klasma.github.io/Logging_2180/tillsynsmail/A 51550-2023 tillsynsbegäran mail.docx", "A 51550-2023")</f>
        <v/>
      </c>
    </row>
    <row r="45" ht="15" customHeight="1">
      <c r="A45" t="inlineStr">
        <is>
          <t>A 56368-2023</t>
        </is>
      </c>
      <c r="B45" s="1" t="n">
        <v>45243</v>
      </c>
      <c r="C45" s="1" t="n">
        <v>45584</v>
      </c>
      <c r="D45" t="inlineStr">
        <is>
          <t>GÄVLEBORGS LÄN</t>
        </is>
      </c>
      <c r="E45" t="inlineStr">
        <is>
          <t>GÄVLE</t>
        </is>
      </c>
      <c r="G45" t="n">
        <v>10.8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56368-2023 artfynd.xlsx", "A 56368-2023")</f>
        <v/>
      </c>
      <c r="T45">
        <f>HYPERLINK("https://klasma.github.io/Logging_2180/kartor/A 56368-2023 karta.png", "A 56368-2023")</f>
        <v/>
      </c>
      <c r="U45">
        <f>HYPERLINK("https://klasma.github.io/Logging_2180/knärot/A 56368-2023 karta knärot.png", "A 56368-2023")</f>
        <v/>
      </c>
      <c r="V45">
        <f>HYPERLINK("https://klasma.github.io/Logging_2180/klagomål/A 56368-2023 FSC-klagomål.docx", "A 56368-2023")</f>
        <v/>
      </c>
      <c r="W45">
        <f>HYPERLINK("https://klasma.github.io/Logging_2180/klagomålsmail/A 56368-2023 FSC-klagomål mail.docx", "A 56368-2023")</f>
        <v/>
      </c>
      <c r="X45">
        <f>HYPERLINK("https://klasma.github.io/Logging_2180/tillsyn/A 56368-2023 tillsynsbegäran.docx", "A 56368-2023")</f>
        <v/>
      </c>
      <c r="Y45">
        <f>HYPERLINK("https://klasma.github.io/Logging_2180/tillsynsmail/A 56368-2023 tillsynsbegäran mail.docx", "A 56368-2023")</f>
        <v/>
      </c>
    </row>
    <row r="46" ht="15" customHeight="1">
      <c r="A46" t="inlineStr">
        <is>
          <t>A 7296-2024</t>
        </is>
      </c>
      <c r="B46" s="1" t="n">
        <v>45344</v>
      </c>
      <c r="C46" s="1" t="n">
        <v>45584</v>
      </c>
      <c r="D46" t="inlineStr">
        <is>
          <t>GÄVLEBORGS LÄN</t>
        </is>
      </c>
      <c r="E46" t="inlineStr">
        <is>
          <t>GÄVLE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7296-2024 artfynd.xlsx", "A 7296-2024")</f>
        <v/>
      </c>
      <c r="T46">
        <f>HYPERLINK("https://klasma.github.io/Logging_2180/kartor/A 7296-2024 karta.png", "A 7296-2024")</f>
        <v/>
      </c>
      <c r="V46">
        <f>HYPERLINK("https://klasma.github.io/Logging_2180/klagomål/A 7296-2024 FSC-klagomål.docx", "A 7296-2024")</f>
        <v/>
      </c>
      <c r="W46">
        <f>HYPERLINK("https://klasma.github.io/Logging_2180/klagomålsmail/A 7296-2024 FSC-klagomål mail.docx", "A 7296-2024")</f>
        <v/>
      </c>
      <c r="X46">
        <f>HYPERLINK("https://klasma.github.io/Logging_2180/tillsyn/A 7296-2024 tillsynsbegäran.docx", "A 7296-2024")</f>
        <v/>
      </c>
      <c r="Y46">
        <f>HYPERLINK("https://klasma.github.io/Logging_2180/tillsynsmail/A 7296-2024 tillsynsbegäran mail.docx", "A 7296-2024")</f>
        <v/>
      </c>
    </row>
    <row r="47" ht="15" customHeight="1">
      <c r="A47" t="inlineStr">
        <is>
          <t>A 14726-2024</t>
        </is>
      </c>
      <c r="B47" s="1" t="n">
        <v>45397</v>
      </c>
      <c r="C47" s="1" t="n">
        <v>45584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HYPERLINK("https://klasma.github.io/Logging_2180/artfynd/A 14726-2024 artfynd.xlsx", "A 14726-2024")</f>
        <v/>
      </c>
      <c r="T47">
        <f>HYPERLINK("https://klasma.github.io/Logging_2180/kartor/A 14726-2024 karta.png", "A 14726-2024")</f>
        <v/>
      </c>
      <c r="V47">
        <f>HYPERLINK("https://klasma.github.io/Logging_2180/klagomål/A 14726-2024 FSC-klagomål.docx", "A 14726-2024")</f>
        <v/>
      </c>
      <c r="W47">
        <f>HYPERLINK("https://klasma.github.io/Logging_2180/klagomålsmail/A 14726-2024 FSC-klagomål mail.docx", "A 14726-2024")</f>
        <v/>
      </c>
      <c r="X47">
        <f>HYPERLINK("https://klasma.github.io/Logging_2180/tillsyn/A 14726-2024 tillsynsbegäran.docx", "A 14726-2024")</f>
        <v/>
      </c>
      <c r="Y47">
        <f>HYPERLINK("https://klasma.github.io/Logging_2180/tillsynsmail/A 14726-2024 tillsynsbegäran mail.docx", "A 14726-2024")</f>
        <v/>
      </c>
    </row>
    <row r="48" ht="15" customHeight="1">
      <c r="A48" t="inlineStr">
        <is>
          <t>A 14847-2024</t>
        </is>
      </c>
      <c r="B48" s="1" t="n">
        <v>45398</v>
      </c>
      <c r="C48" s="1" t="n">
        <v>45584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23.2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14847-2024 artfynd.xlsx", "A 14847-2024")</f>
        <v/>
      </c>
      <c r="T48">
        <f>HYPERLINK("https://klasma.github.io/Logging_2180/kartor/A 14847-2024 karta.png", "A 14847-2024")</f>
        <v/>
      </c>
      <c r="V48">
        <f>HYPERLINK("https://klasma.github.io/Logging_2180/klagomål/A 14847-2024 FSC-klagomål.docx", "A 14847-2024")</f>
        <v/>
      </c>
      <c r="W48">
        <f>HYPERLINK("https://klasma.github.io/Logging_2180/klagomålsmail/A 14847-2024 FSC-klagomål mail.docx", "A 14847-2024")</f>
        <v/>
      </c>
      <c r="X48">
        <f>HYPERLINK("https://klasma.github.io/Logging_2180/tillsyn/A 14847-2024 tillsynsbegäran.docx", "A 14847-2024")</f>
        <v/>
      </c>
      <c r="Y48">
        <f>HYPERLINK("https://klasma.github.io/Logging_2180/tillsynsmail/A 14847-2024 tillsynsbegäran mail.docx", "A 14847-2024")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45584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18376-2024</t>
        </is>
      </c>
      <c r="B50" s="1" t="n">
        <v>45423</v>
      </c>
      <c r="C50" s="1" t="n">
        <v>45584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 taggsvamp</t>
        </is>
      </c>
      <c r="S50">
        <f>HYPERLINK("https://klasma.github.io/Logging_2180/artfynd/A 18376-2024 artfynd.xlsx", "A 18376-2024")</f>
        <v/>
      </c>
      <c r="T50">
        <f>HYPERLINK("https://klasma.github.io/Logging_2180/kartor/A 18376-2024 karta.png", "A 18376-2024")</f>
        <v/>
      </c>
      <c r="V50">
        <f>HYPERLINK("https://klasma.github.io/Logging_2180/klagomål/A 18376-2024 FSC-klagomål.docx", "A 18376-2024")</f>
        <v/>
      </c>
      <c r="W50">
        <f>HYPERLINK("https://klasma.github.io/Logging_2180/klagomålsmail/A 18376-2024 FSC-klagomål mail.docx", "A 18376-2024")</f>
        <v/>
      </c>
      <c r="X50">
        <f>HYPERLINK("https://klasma.github.io/Logging_2180/tillsyn/A 18376-2024 tillsynsbegäran.docx", "A 18376-2024")</f>
        <v/>
      </c>
      <c r="Y50">
        <f>HYPERLINK("https://klasma.github.io/Logging_2180/tillsynsmail/A 18376-2024 tillsynsbegäran mail.docx", "A 18376-2024")</f>
        <v/>
      </c>
    </row>
    <row r="51" ht="15" customHeight="1">
      <c r="A51" t="inlineStr">
        <is>
          <t>A 20152-2024</t>
        </is>
      </c>
      <c r="B51" s="1" t="n">
        <v>45434</v>
      </c>
      <c r="C51" s="1" t="n">
        <v>45584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13.4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20152-2024 artfynd.xlsx", "A 20152-2024")</f>
        <v/>
      </c>
      <c r="T51">
        <f>HYPERLINK("https://klasma.github.io/Logging_2180/kartor/A 20152-2024 karta.png", "A 20152-2024")</f>
        <v/>
      </c>
      <c r="V51">
        <f>HYPERLINK("https://klasma.github.io/Logging_2180/klagomål/A 20152-2024 FSC-klagomål.docx", "A 20152-2024")</f>
        <v/>
      </c>
      <c r="W51">
        <f>HYPERLINK("https://klasma.github.io/Logging_2180/klagomålsmail/A 20152-2024 FSC-klagomål mail.docx", "A 20152-2024")</f>
        <v/>
      </c>
      <c r="X51">
        <f>HYPERLINK("https://klasma.github.io/Logging_2180/tillsyn/A 20152-2024 tillsynsbegäran.docx", "A 20152-2024")</f>
        <v/>
      </c>
      <c r="Y51">
        <f>HYPERLINK("https://klasma.github.io/Logging_2180/tillsynsmail/A 20152-2024 tillsynsbegäran mail.docx", "A 20152-2024")</f>
        <v/>
      </c>
    </row>
    <row r="52" ht="15" customHeight="1">
      <c r="A52" t="inlineStr">
        <is>
          <t>A 21282-2024</t>
        </is>
      </c>
      <c r="B52" s="1" t="n">
        <v>45440</v>
      </c>
      <c r="C52" s="1" t="n">
        <v>45584</v>
      </c>
      <c r="D52" t="inlineStr">
        <is>
          <t>GÄVLEBORGS LÄN</t>
        </is>
      </c>
      <c r="E52" t="inlineStr">
        <is>
          <t>GÄVLE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21282-2024 artfynd.xlsx", "A 21282-2024")</f>
        <v/>
      </c>
      <c r="T52">
        <f>HYPERLINK("https://klasma.github.io/Logging_2180/kartor/A 21282-2024 karta.png", "A 21282-2024")</f>
        <v/>
      </c>
      <c r="V52">
        <f>HYPERLINK("https://klasma.github.io/Logging_2180/klagomål/A 21282-2024 FSC-klagomål.docx", "A 21282-2024")</f>
        <v/>
      </c>
      <c r="W52">
        <f>HYPERLINK("https://klasma.github.io/Logging_2180/klagomålsmail/A 21282-2024 FSC-klagomål mail.docx", "A 21282-2024")</f>
        <v/>
      </c>
      <c r="X52">
        <f>HYPERLINK("https://klasma.github.io/Logging_2180/tillsyn/A 21282-2024 tillsynsbegäran.docx", "A 21282-2024")</f>
        <v/>
      </c>
      <c r="Y52">
        <f>HYPERLINK("https://klasma.github.io/Logging_2180/tillsynsmail/A 21282-2024 tillsynsbegäran mail.docx", "A 21282-2024")</f>
        <v/>
      </c>
    </row>
    <row r="53" ht="15" customHeight="1">
      <c r="A53" t="inlineStr">
        <is>
          <t>A 23700-2024</t>
        </is>
      </c>
      <c r="B53" s="1" t="n">
        <v>45454</v>
      </c>
      <c r="C53" s="1" t="n">
        <v>45584</v>
      </c>
      <c r="D53" t="inlineStr">
        <is>
          <t>GÄVLEBORGS LÄN</t>
        </is>
      </c>
      <c r="E53" t="inlineStr">
        <is>
          <t>GÄVLE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HYPERLINK("https://klasma.github.io/Logging_2180/artfynd/A 23700-2024 artfynd.xlsx", "A 23700-2024")</f>
        <v/>
      </c>
      <c r="T53">
        <f>HYPERLINK("https://klasma.github.io/Logging_2180/kartor/A 23700-2024 karta.png", "A 23700-2024")</f>
        <v/>
      </c>
      <c r="V53">
        <f>HYPERLINK("https://klasma.github.io/Logging_2180/klagomål/A 23700-2024 FSC-klagomål.docx", "A 23700-2024")</f>
        <v/>
      </c>
      <c r="W53">
        <f>HYPERLINK("https://klasma.github.io/Logging_2180/klagomålsmail/A 23700-2024 FSC-klagomål mail.docx", "A 23700-2024")</f>
        <v/>
      </c>
      <c r="X53">
        <f>HYPERLINK("https://klasma.github.io/Logging_2180/tillsyn/A 23700-2024 tillsynsbegäran.docx", "A 23700-2024")</f>
        <v/>
      </c>
      <c r="Y53">
        <f>HYPERLINK("https://klasma.github.io/Logging_2180/tillsynsmail/A 23700-2024 tillsynsbegäran mail.docx", "A 23700-2024")</f>
        <v/>
      </c>
    </row>
    <row r="54" ht="15" customHeight="1">
      <c r="A54" t="inlineStr">
        <is>
          <t>A 25657-2024</t>
        </is>
      </c>
      <c r="B54" s="1" t="n">
        <v>45463</v>
      </c>
      <c r="C54" s="1" t="n">
        <v>45584</v>
      </c>
      <c r="D54" t="inlineStr">
        <is>
          <t>GÄVLEBORGS LÄN</t>
        </is>
      </c>
      <c r="E54" t="inlineStr">
        <is>
          <t>GÄVLE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HYPERLINK("https://klasma.github.io/Logging_2180/artfynd/A 25657-2024 artfynd.xlsx", "A 25657-2024")</f>
        <v/>
      </c>
      <c r="T54">
        <f>HYPERLINK("https://klasma.github.io/Logging_2180/kartor/A 25657-2024 karta.png", "A 25657-2024")</f>
        <v/>
      </c>
      <c r="V54">
        <f>HYPERLINK("https://klasma.github.io/Logging_2180/klagomål/A 25657-2024 FSC-klagomål.docx", "A 25657-2024")</f>
        <v/>
      </c>
      <c r="W54">
        <f>HYPERLINK("https://klasma.github.io/Logging_2180/klagomålsmail/A 25657-2024 FSC-klagomål mail.docx", "A 25657-2024")</f>
        <v/>
      </c>
      <c r="X54">
        <f>HYPERLINK("https://klasma.github.io/Logging_2180/tillsyn/A 25657-2024 tillsynsbegäran.docx", "A 25657-2024")</f>
        <v/>
      </c>
      <c r="Y54">
        <f>HYPERLINK("https://klasma.github.io/Logging_2180/tillsynsmail/A 25657-2024 tillsynsbegäran mail.docx", "A 25657-2024")</f>
        <v/>
      </c>
    </row>
    <row r="55" ht="15" customHeight="1">
      <c r="A55" t="inlineStr">
        <is>
          <t>A 18398-2019</t>
        </is>
      </c>
      <c r="B55" s="1" t="n">
        <v>43559</v>
      </c>
      <c r="C55" s="1" t="n">
        <v>45584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18473-2019</t>
        </is>
      </c>
      <c r="B56" s="1" t="n">
        <v>43559</v>
      </c>
      <c r="C56" s="1" t="n">
        <v>45584</v>
      </c>
      <c r="D56" t="inlineStr">
        <is>
          <t>GÄVLEBORGS LÄN</t>
        </is>
      </c>
      <c r="E56" t="inlineStr">
        <is>
          <t>GÄVLE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19418-2019</t>
        </is>
      </c>
      <c r="B57" s="1" t="n">
        <v>43565</v>
      </c>
      <c r="C57" s="1" t="n">
        <v>45584</v>
      </c>
      <c r="D57" t="inlineStr">
        <is>
          <t>GÄVLEBORGS LÄN</t>
        </is>
      </c>
      <c r="E57" t="inlineStr">
        <is>
          <t>GÄVLE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19856-2019</t>
        </is>
      </c>
      <c r="B58" s="1" t="n">
        <v>43567</v>
      </c>
      <c r="C58" s="1" t="n">
        <v>45584</v>
      </c>
      <c r="D58" t="inlineStr">
        <is>
          <t>GÄVLEBORGS LÄN</t>
        </is>
      </c>
      <c r="E58" t="inlineStr">
        <is>
          <t>GÄVLE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19891-2019</t>
        </is>
      </c>
      <c r="B59" s="1" t="n">
        <v>43567</v>
      </c>
      <c r="C59" s="1" t="n">
        <v>45584</v>
      </c>
      <c r="D59" t="inlineStr">
        <is>
          <t>GÄVLEBORGS LÄN</t>
        </is>
      </c>
      <c r="E59" t="inlineStr">
        <is>
          <t>GÄVLE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20858-2019</t>
        </is>
      </c>
      <c r="B60" s="1" t="n">
        <v>43578</v>
      </c>
      <c r="C60" s="1" t="n">
        <v>45584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20872-2019</t>
        </is>
      </c>
      <c r="B61" s="1" t="n">
        <v>43578</v>
      </c>
      <c r="C61" s="1" t="n">
        <v>45584</v>
      </c>
      <c r="D61" t="inlineStr">
        <is>
          <t>GÄVLEBORGS LÄN</t>
        </is>
      </c>
      <c r="E61" t="inlineStr">
        <is>
          <t>GÄVLE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21347-2019</t>
        </is>
      </c>
      <c r="B62" s="1" t="n">
        <v>43579</v>
      </c>
      <c r="C62" s="1" t="n">
        <v>45584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22617-2019</t>
        </is>
      </c>
      <c r="B63" s="1" t="n">
        <v>43588</v>
      </c>
      <c r="C63" s="1" t="n">
        <v>45584</v>
      </c>
      <c r="D63" t="inlineStr">
        <is>
          <t>GÄVLEBORGS LÄN</t>
        </is>
      </c>
      <c r="E63" t="inlineStr">
        <is>
          <t>GÄVLE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22611-2019</t>
        </is>
      </c>
      <c r="B64" s="1" t="n">
        <v>43588</v>
      </c>
      <c r="C64" s="1" t="n">
        <v>45584</v>
      </c>
      <c r="D64" t="inlineStr">
        <is>
          <t>GÄVLEBORGS LÄN</t>
        </is>
      </c>
      <c r="E64" t="inlineStr">
        <is>
          <t>GÄVLE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22609-2019</t>
        </is>
      </c>
      <c r="B65" s="1" t="n">
        <v>43588</v>
      </c>
      <c r="C65" s="1" t="n">
        <v>45584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24677-2019</t>
        </is>
      </c>
      <c r="B66" s="1" t="n">
        <v>43601</v>
      </c>
      <c r="C66" s="1" t="n">
        <v>45584</v>
      </c>
      <c r="D66" t="inlineStr">
        <is>
          <t>GÄVLEBORGS LÄN</t>
        </is>
      </c>
      <c r="E66" t="inlineStr">
        <is>
          <t>GÄVLE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25306-2019</t>
        </is>
      </c>
      <c r="B67" s="1" t="n">
        <v>43605</v>
      </c>
      <c r="C67" s="1" t="n">
        <v>45584</v>
      </c>
      <c r="D67" t="inlineStr">
        <is>
          <t>GÄVLEBORGS LÄN</t>
        </is>
      </c>
      <c r="E67" t="inlineStr">
        <is>
          <t>GÄVLE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26464-2019</t>
        </is>
      </c>
      <c r="B68" s="1" t="n">
        <v>43612</v>
      </c>
      <c r="C68" s="1" t="n">
        <v>45584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27118-2019</t>
        </is>
      </c>
      <c r="B69" s="1" t="n">
        <v>43614</v>
      </c>
      <c r="C69" s="1" t="n">
        <v>45584</v>
      </c>
      <c r="D69" t="inlineStr">
        <is>
          <t>GÄVLEBORGS LÄN</t>
        </is>
      </c>
      <c r="E69" t="inlineStr">
        <is>
          <t>GÄVLE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28316-2019</t>
        </is>
      </c>
      <c r="B70" s="1" t="n">
        <v>43623</v>
      </c>
      <c r="C70" s="1" t="n">
        <v>45584</v>
      </c>
      <c r="D70" t="inlineStr">
        <is>
          <t>GÄVLEBORGS LÄN</t>
        </is>
      </c>
      <c r="E70" t="inlineStr">
        <is>
          <t>GÄVLE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28559-2019</t>
        </is>
      </c>
      <c r="B71" s="1" t="n">
        <v>43626</v>
      </c>
      <c r="C71" s="1" t="n">
        <v>45584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19.7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30581-2019</t>
        </is>
      </c>
      <c r="B72" s="1" t="n">
        <v>43635</v>
      </c>
      <c r="C72" s="1" t="n">
        <v>45584</v>
      </c>
      <c r="D72" t="inlineStr">
        <is>
          <t>GÄVLEBORGS LÄN</t>
        </is>
      </c>
      <c r="E72" t="inlineStr">
        <is>
          <t>GÄVLE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30567-2019</t>
        </is>
      </c>
      <c r="B73" s="1" t="n">
        <v>43635</v>
      </c>
      <c r="C73" s="1" t="n">
        <v>45584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30821-2019</t>
        </is>
      </c>
      <c r="B74" s="1" t="n">
        <v>43636</v>
      </c>
      <c r="C74" s="1" t="n">
        <v>45584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33228-2019</t>
        </is>
      </c>
      <c r="B75" s="1" t="n">
        <v>43650</v>
      </c>
      <c r="C75" s="1" t="n">
        <v>45584</v>
      </c>
      <c r="D75" t="inlineStr">
        <is>
          <t>GÄVLEBORGS LÄN</t>
        </is>
      </c>
      <c r="E75" t="inlineStr">
        <is>
          <t>GÄVLE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33580-2019</t>
        </is>
      </c>
      <c r="B76" s="1" t="n">
        <v>43651</v>
      </c>
      <c r="C76" s="1" t="n">
        <v>45584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35208-2019</t>
        </is>
      </c>
      <c r="B77" s="1" t="n">
        <v>43662</v>
      </c>
      <c r="C77" s="1" t="n">
        <v>45584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41483-2019</t>
        </is>
      </c>
      <c r="B78" s="1" t="n">
        <v>43696</v>
      </c>
      <c r="C78" s="1" t="n">
        <v>45584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40440-2019</t>
        </is>
      </c>
      <c r="B79" s="1" t="n">
        <v>43696</v>
      </c>
      <c r="C79" s="1" t="n">
        <v>45584</v>
      </c>
      <c r="D79" t="inlineStr">
        <is>
          <t>GÄVLEBORGS LÄN</t>
        </is>
      </c>
      <c r="E79" t="inlineStr">
        <is>
          <t>GÄVLE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41223-2019</t>
        </is>
      </c>
      <c r="B80" s="1" t="n">
        <v>43698</v>
      </c>
      <c r="C80" s="1" t="n">
        <v>45584</v>
      </c>
      <c r="D80" t="inlineStr">
        <is>
          <t>GÄVLEBORGS LÄN</t>
        </is>
      </c>
      <c r="E80" t="inlineStr">
        <is>
          <t>GÄVLE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41977-2019</t>
        </is>
      </c>
      <c r="B81" s="1" t="n">
        <v>43700</v>
      </c>
      <c r="C81" s="1" t="n">
        <v>45584</v>
      </c>
      <c r="D81" t="inlineStr">
        <is>
          <t>GÄVLEBORGS LÄN</t>
        </is>
      </c>
      <c r="E81" t="inlineStr">
        <is>
          <t>GÄVLE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43287-2019</t>
        </is>
      </c>
      <c r="B82" s="1" t="n">
        <v>43706</v>
      </c>
      <c r="C82" s="1" t="n">
        <v>45584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43610-2019</t>
        </is>
      </c>
      <c r="B83" s="1" t="n">
        <v>43707</v>
      </c>
      <c r="C83" s="1" t="n">
        <v>45584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45358-2019</t>
        </is>
      </c>
      <c r="B84" s="1" t="n">
        <v>43714</v>
      </c>
      <c r="C84" s="1" t="n">
        <v>45584</v>
      </c>
      <c r="D84" t="inlineStr">
        <is>
          <t>GÄVLEBORGS LÄN</t>
        </is>
      </c>
      <c r="E84" t="inlineStr">
        <is>
          <t>GÄVLE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46014-2019</t>
        </is>
      </c>
      <c r="B85" s="1" t="n">
        <v>43718</v>
      </c>
      <c r="C85" s="1" t="n">
        <v>45584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46444-2019</t>
        </is>
      </c>
      <c r="B86" s="1" t="n">
        <v>43719</v>
      </c>
      <c r="C86" s="1" t="n">
        <v>45584</v>
      </c>
      <c r="D86" t="inlineStr">
        <is>
          <t>GÄVLEBORGS LÄN</t>
        </is>
      </c>
      <c r="E86" t="inlineStr">
        <is>
          <t>GÄVLE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46442-2019</t>
        </is>
      </c>
      <c r="B87" s="1" t="n">
        <v>43719</v>
      </c>
      <c r="C87" s="1" t="n">
        <v>45584</v>
      </c>
      <c r="D87" t="inlineStr">
        <is>
          <t>GÄVLEBORGS LÄN</t>
        </is>
      </c>
      <c r="E87" t="inlineStr">
        <is>
          <t>GÄVLE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47378-2019</t>
        </is>
      </c>
      <c r="B88" s="1" t="n">
        <v>43721</v>
      </c>
      <c r="C88" s="1" t="n">
        <v>45584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48641-2019</t>
        </is>
      </c>
      <c r="B89" s="1" t="n">
        <v>43728</v>
      </c>
      <c r="C89" s="1" t="n">
        <v>45584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48642-2019</t>
        </is>
      </c>
      <c r="B90" s="1" t="n">
        <v>43728</v>
      </c>
      <c r="C90" s="1" t="n">
        <v>45584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48647-2019</t>
        </is>
      </c>
      <c r="B91" s="1" t="n">
        <v>43728</v>
      </c>
      <c r="C91" s="1" t="n">
        <v>45584</v>
      </c>
      <c r="D91" t="inlineStr">
        <is>
          <t>GÄVLEBORGS LÄN</t>
        </is>
      </c>
      <c r="E91" t="inlineStr">
        <is>
          <t>GÄVLE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49573-2019</t>
        </is>
      </c>
      <c r="B92" s="1" t="n">
        <v>43732</v>
      </c>
      <c r="C92" s="1" t="n">
        <v>45584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50333-2019</t>
        </is>
      </c>
      <c r="B93" s="1" t="n">
        <v>43735</v>
      </c>
      <c r="C93" s="1" t="n">
        <v>45584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52743-2019</t>
        </is>
      </c>
      <c r="B94" s="1" t="n">
        <v>43746</v>
      </c>
      <c r="C94" s="1" t="n">
        <v>45584</v>
      </c>
      <c r="D94" t="inlineStr">
        <is>
          <t>GÄVLEBORGS LÄN</t>
        </is>
      </c>
      <c r="E94" t="inlineStr">
        <is>
          <t>GÄVLE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54773-2019</t>
        </is>
      </c>
      <c r="B95" s="1" t="n">
        <v>43755</v>
      </c>
      <c r="C95" s="1" t="n">
        <v>45584</v>
      </c>
      <c r="D95" t="inlineStr">
        <is>
          <t>GÄVLEBORGS LÄN</t>
        </is>
      </c>
      <c r="E95" t="inlineStr">
        <is>
          <t>GÄVLE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55857-2019</t>
        </is>
      </c>
      <c r="B96" s="1" t="n">
        <v>43759</v>
      </c>
      <c r="C96" s="1" t="n">
        <v>45584</v>
      </c>
      <c r="D96" t="inlineStr">
        <is>
          <t>GÄVLEBORGS LÄN</t>
        </is>
      </c>
      <c r="E96" t="inlineStr">
        <is>
          <t>GÄVLE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55774-2019</t>
        </is>
      </c>
      <c r="B97" s="1" t="n">
        <v>43761</v>
      </c>
      <c r="C97" s="1" t="n">
        <v>45584</v>
      </c>
      <c r="D97" t="inlineStr">
        <is>
          <t>GÄVLEBORGS LÄN</t>
        </is>
      </c>
      <c r="E97" t="inlineStr">
        <is>
          <t>GÄVLE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55742-2019</t>
        </is>
      </c>
      <c r="B98" s="1" t="n">
        <v>43761</v>
      </c>
      <c r="C98" s="1" t="n">
        <v>45584</v>
      </c>
      <c r="D98" t="inlineStr">
        <is>
          <t>GÄVLEBORGS LÄN</t>
        </is>
      </c>
      <c r="E98" t="inlineStr">
        <is>
          <t>GÄVLE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56670-2019</t>
        </is>
      </c>
      <c r="B99" s="1" t="n">
        <v>43763</v>
      </c>
      <c r="C99" s="1" t="n">
        <v>45584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57453-2019</t>
        </is>
      </c>
      <c r="B100" s="1" t="n">
        <v>43767</v>
      </c>
      <c r="C100" s="1" t="n">
        <v>45584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58287-2019</t>
        </is>
      </c>
      <c r="B101" s="1" t="n">
        <v>43770</v>
      </c>
      <c r="C101" s="1" t="n">
        <v>45584</v>
      </c>
      <c r="D101" t="inlineStr">
        <is>
          <t>GÄVLEBORGS LÄN</t>
        </is>
      </c>
      <c r="E101" t="inlineStr">
        <is>
          <t>GÄVLE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58296-2019</t>
        </is>
      </c>
      <c r="B102" s="1" t="n">
        <v>43770</v>
      </c>
      <c r="C102" s="1" t="n">
        <v>45584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59734-2019</t>
        </is>
      </c>
      <c r="B103" s="1" t="n">
        <v>43776</v>
      </c>
      <c r="C103" s="1" t="n">
        <v>45584</v>
      </c>
      <c r="D103" t="inlineStr">
        <is>
          <t>GÄVLEBORGS LÄN</t>
        </is>
      </c>
      <c r="E103" t="inlineStr">
        <is>
          <t>GÄVLE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59926-2019</t>
        </is>
      </c>
      <c r="B104" s="1" t="n">
        <v>43777</v>
      </c>
      <c r="C104" s="1" t="n">
        <v>45584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59907-2019</t>
        </is>
      </c>
      <c r="B105" s="1" t="n">
        <v>43777</v>
      </c>
      <c r="C105" s="1" t="n">
        <v>45584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61392-2019</t>
        </is>
      </c>
      <c r="B106" s="1" t="n">
        <v>43783</v>
      </c>
      <c r="C106" s="1" t="n">
        <v>45584</v>
      </c>
      <c r="D106" t="inlineStr">
        <is>
          <t>GÄVLEBORGS LÄN</t>
        </is>
      </c>
      <c r="E106" t="inlineStr">
        <is>
          <t>GÄVLE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62250-2019</t>
        </is>
      </c>
      <c r="B107" s="1" t="n">
        <v>43788</v>
      </c>
      <c r="C107" s="1" t="n">
        <v>45584</v>
      </c>
      <c r="D107" t="inlineStr">
        <is>
          <t>GÄVLEBORGS LÄN</t>
        </is>
      </c>
      <c r="E107" t="inlineStr">
        <is>
          <t>GÄVLE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62841-2019</t>
        </is>
      </c>
      <c r="B108" s="1" t="n">
        <v>43790</v>
      </c>
      <c r="C108" s="1" t="n">
        <v>45584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63469-2019</t>
        </is>
      </c>
      <c r="B109" s="1" t="n">
        <v>43794</v>
      </c>
      <c r="C109" s="1" t="n">
        <v>45584</v>
      </c>
      <c r="D109" t="inlineStr">
        <is>
          <t>GÄVLEBORGS LÄN</t>
        </is>
      </c>
      <c r="E109" t="inlineStr">
        <is>
          <t>GÄVLE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66206-2019</t>
        </is>
      </c>
      <c r="B110" s="1" t="n">
        <v>43808</v>
      </c>
      <c r="C110" s="1" t="n">
        <v>45584</v>
      </c>
      <c r="D110" t="inlineStr">
        <is>
          <t>GÄVLEBORGS LÄN</t>
        </is>
      </c>
      <c r="E110" t="inlineStr">
        <is>
          <t>GÄVLE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66410-2019</t>
        </is>
      </c>
      <c r="B111" s="1" t="n">
        <v>43809</v>
      </c>
      <c r="C111" s="1" t="n">
        <v>45584</v>
      </c>
      <c r="D111" t="inlineStr">
        <is>
          <t>GÄVLEBORGS LÄN</t>
        </is>
      </c>
      <c r="E111" t="inlineStr">
        <is>
          <t>GÄVLE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67138-2019</t>
        </is>
      </c>
      <c r="B112" s="1" t="n">
        <v>43811</v>
      </c>
      <c r="C112" s="1" t="n">
        <v>45584</v>
      </c>
      <c r="D112" t="inlineStr">
        <is>
          <t>GÄVLEBORGS LÄN</t>
        </is>
      </c>
      <c r="E112" t="inlineStr">
        <is>
          <t>GÄVLE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67417-2019</t>
        </is>
      </c>
      <c r="B113" s="1" t="n">
        <v>43812</v>
      </c>
      <c r="C113" s="1" t="n">
        <v>45584</v>
      </c>
      <c r="D113" t="inlineStr">
        <is>
          <t>GÄVLEBORGS LÄN</t>
        </is>
      </c>
      <c r="E113" t="inlineStr">
        <is>
          <t>GÄVLE</t>
        </is>
      </c>
      <c r="F113" t="inlineStr">
        <is>
          <t>Kommuner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68436-2019</t>
        </is>
      </c>
      <c r="B114" s="1" t="n">
        <v>43818</v>
      </c>
      <c r="C114" s="1" t="n">
        <v>45584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68555-2019</t>
        </is>
      </c>
      <c r="B115" s="1" t="n">
        <v>43818</v>
      </c>
      <c r="C115" s="1" t="n">
        <v>45584</v>
      </c>
      <c r="D115" t="inlineStr">
        <is>
          <t>GÄVLEBORGS LÄN</t>
        </is>
      </c>
      <c r="E115" t="inlineStr">
        <is>
          <t>GÄVLE</t>
        </is>
      </c>
      <c r="F115" t="inlineStr">
        <is>
          <t>Övriga statliga verk och myndigheter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743-2020</t>
        </is>
      </c>
      <c r="B116" s="1" t="n">
        <v>43838</v>
      </c>
      <c r="C116" s="1" t="n">
        <v>45584</v>
      </c>
      <c r="D116" t="inlineStr">
        <is>
          <t>GÄVLEBORGS LÄN</t>
        </is>
      </c>
      <c r="E116" t="inlineStr">
        <is>
          <t>GÄVLE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2786-2020</t>
        </is>
      </c>
      <c r="B117" s="1" t="n">
        <v>43850</v>
      </c>
      <c r="C117" s="1" t="n">
        <v>45584</v>
      </c>
      <c r="D117" t="inlineStr">
        <is>
          <t>GÄVLEBORGS LÄN</t>
        </is>
      </c>
      <c r="E117" t="inlineStr">
        <is>
          <t>GÄVLE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3383-2020</t>
        </is>
      </c>
      <c r="B118" s="1" t="n">
        <v>43852</v>
      </c>
      <c r="C118" s="1" t="n">
        <v>45584</v>
      </c>
      <c r="D118" t="inlineStr">
        <is>
          <t>GÄVLEBORGS LÄN</t>
        </is>
      </c>
      <c r="E118" t="inlineStr">
        <is>
          <t>GÄVLE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3854-2020</t>
        </is>
      </c>
      <c r="B119" s="1" t="n">
        <v>43854</v>
      </c>
      <c r="C119" s="1" t="n">
        <v>45584</v>
      </c>
      <c r="D119" t="inlineStr">
        <is>
          <t>GÄVLEBORGS LÄN</t>
        </is>
      </c>
      <c r="E119" t="inlineStr">
        <is>
          <t>GÄVLE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3975-2020</t>
        </is>
      </c>
      <c r="B120" s="1" t="n">
        <v>43854</v>
      </c>
      <c r="C120" s="1" t="n">
        <v>45584</v>
      </c>
      <c r="D120" t="inlineStr">
        <is>
          <t>GÄVLEBORGS LÄN</t>
        </is>
      </c>
      <c r="E120" t="inlineStr">
        <is>
          <t>GÄVLE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3974-2020</t>
        </is>
      </c>
      <c r="B121" s="1" t="n">
        <v>43854</v>
      </c>
      <c r="C121" s="1" t="n">
        <v>45584</v>
      </c>
      <c r="D121" t="inlineStr">
        <is>
          <t>GÄVLEBORGS LÄN</t>
        </is>
      </c>
      <c r="E121" t="inlineStr">
        <is>
          <t>GÄVLE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3976-2020</t>
        </is>
      </c>
      <c r="B122" s="1" t="n">
        <v>43855</v>
      </c>
      <c r="C122" s="1" t="n">
        <v>45584</v>
      </c>
      <c r="D122" t="inlineStr">
        <is>
          <t>GÄVLEBORGS LÄN</t>
        </is>
      </c>
      <c r="E122" t="inlineStr">
        <is>
          <t>GÄVLE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6046-2020</t>
        </is>
      </c>
      <c r="B123" s="1" t="n">
        <v>43865</v>
      </c>
      <c r="C123" s="1" t="n">
        <v>45584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7240-2020</t>
        </is>
      </c>
      <c r="B124" s="1" t="n">
        <v>43871</v>
      </c>
      <c r="C124" s="1" t="n">
        <v>45584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7725-2020</t>
        </is>
      </c>
      <c r="B125" s="1" t="n">
        <v>43872</v>
      </c>
      <c r="C125" s="1" t="n">
        <v>45584</v>
      </c>
      <c r="D125" t="inlineStr">
        <is>
          <t>GÄVLEBORGS LÄN</t>
        </is>
      </c>
      <c r="E125" t="inlineStr">
        <is>
          <t>GÄVLE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7982-2020</t>
        </is>
      </c>
      <c r="B126" s="1" t="n">
        <v>43873</v>
      </c>
      <c r="C126" s="1" t="n">
        <v>45584</v>
      </c>
      <c r="D126" t="inlineStr">
        <is>
          <t>GÄVLEBORGS LÄN</t>
        </is>
      </c>
      <c r="E126" t="inlineStr">
        <is>
          <t>GÄVLE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7989-2020</t>
        </is>
      </c>
      <c r="B127" s="1" t="n">
        <v>43873</v>
      </c>
      <c r="C127" s="1" t="n">
        <v>45584</v>
      </c>
      <c r="D127" t="inlineStr">
        <is>
          <t>GÄVLEBORGS LÄN</t>
        </is>
      </c>
      <c r="E127" t="inlineStr">
        <is>
          <t>GÄVLE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7841-2020</t>
        </is>
      </c>
      <c r="B128" s="1" t="n">
        <v>43873</v>
      </c>
      <c r="C128" s="1" t="n">
        <v>45584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9218-2020</t>
        </is>
      </c>
      <c r="B129" s="1" t="n">
        <v>43879</v>
      </c>
      <c r="C129" s="1" t="n">
        <v>45584</v>
      </c>
      <c r="D129" t="inlineStr">
        <is>
          <t>GÄVLEBORGS LÄN</t>
        </is>
      </c>
      <c r="E129" t="inlineStr">
        <is>
          <t>GÄVLE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9138-2020</t>
        </is>
      </c>
      <c r="B130" s="1" t="n">
        <v>43879</v>
      </c>
      <c r="C130" s="1" t="n">
        <v>45584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10833-2020</t>
        </is>
      </c>
      <c r="B131" s="1" t="n">
        <v>43888</v>
      </c>
      <c r="C131" s="1" t="n">
        <v>45584</v>
      </c>
      <c r="D131" t="inlineStr">
        <is>
          <t>GÄVLEBORGS LÄN</t>
        </is>
      </c>
      <c r="E131" t="inlineStr">
        <is>
          <t>GÄVLE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11121-2020</t>
        </is>
      </c>
      <c r="B132" s="1" t="n">
        <v>43889</v>
      </c>
      <c r="C132" s="1" t="n">
        <v>45584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12268-2020</t>
        </is>
      </c>
      <c r="B133" s="1" t="n">
        <v>43895</v>
      </c>
      <c r="C133" s="1" t="n">
        <v>45584</v>
      </c>
      <c r="D133" t="inlineStr">
        <is>
          <t>GÄVLEBORGS LÄN</t>
        </is>
      </c>
      <c r="E133" t="inlineStr">
        <is>
          <t>GÄVLE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12513-2020</t>
        </is>
      </c>
      <c r="B134" s="1" t="n">
        <v>43896</v>
      </c>
      <c r="C134" s="1" t="n">
        <v>45584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14242-2020</t>
        </is>
      </c>
      <c r="B135" s="1" t="n">
        <v>43901</v>
      </c>
      <c r="C135" s="1" t="n">
        <v>45584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13978-2020</t>
        </is>
      </c>
      <c r="B136" s="1" t="n">
        <v>43906</v>
      </c>
      <c r="C136" s="1" t="n">
        <v>45584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18035-2020</t>
        </is>
      </c>
      <c r="B137" s="1" t="n">
        <v>43927</v>
      </c>
      <c r="C137" s="1" t="n">
        <v>45584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19054-2020</t>
        </is>
      </c>
      <c r="B138" s="1" t="n">
        <v>43936</v>
      </c>
      <c r="C138" s="1" t="n">
        <v>45584</v>
      </c>
      <c r="D138" t="inlineStr">
        <is>
          <t>GÄVLEBORGS LÄN</t>
        </is>
      </c>
      <c r="E138" t="inlineStr">
        <is>
          <t>GÄVLE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19873-2020</t>
        </is>
      </c>
      <c r="B139" s="1" t="n">
        <v>43942</v>
      </c>
      <c r="C139" s="1" t="n">
        <v>45584</v>
      </c>
      <c r="D139" t="inlineStr">
        <is>
          <t>GÄVLEBORGS LÄN</t>
        </is>
      </c>
      <c r="E139" t="inlineStr">
        <is>
          <t>GÄVLE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21080-2020</t>
        </is>
      </c>
      <c r="B140" s="1" t="n">
        <v>43951</v>
      </c>
      <c r="C140" s="1" t="n">
        <v>45584</v>
      </c>
      <c r="D140" t="inlineStr">
        <is>
          <t>GÄVLEBORGS LÄN</t>
        </is>
      </c>
      <c r="E140" t="inlineStr">
        <is>
          <t>GÄVLE</t>
        </is>
      </c>
      <c r="F140" t="inlineStr">
        <is>
          <t>Kommuner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21379-2020</t>
        </is>
      </c>
      <c r="B141" s="1" t="n">
        <v>43955</v>
      </c>
      <c r="C141" s="1" t="n">
        <v>45584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21981-2020</t>
        </is>
      </c>
      <c r="B142" s="1" t="n">
        <v>43959</v>
      </c>
      <c r="C142" s="1" t="n">
        <v>45584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22385-2020</t>
        </is>
      </c>
      <c r="B143" s="1" t="n">
        <v>43962</v>
      </c>
      <c r="C143" s="1" t="n">
        <v>45584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24780-2020</t>
        </is>
      </c>
      <c r="B144" s="1" t="n">
        <v>43978</v>
      </c>
      <c r="C144" s="1" t="n">
        <v>45584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25009-2020</t>
        </is>
      </c>
      <c r="B145" s="1" t="n">
        <v>43979</v>
      </c>
      <c r="C145" s="1" t="n">
        <v>45584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25220-2020</t>
        </is>
      </c>
      <c r="B146" s="1" t="n">
        <v>43980</v>
      </c>
      <c r="C146" s="1" t="n">
        <v>45584</v>
      </c>
      <c r="D146" t="inlineStr">
        <is>
          <t>GÄVLEBORGS LÄN</t>
        </is>
      </c>
      <c r="E146" t="inlineStr">
        <is>
          <t>GÄVLE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25532-2020</t>
        </is>
      </c>
      <c r="B147" s="1" t="n">
        <v>43983</v>
      </c>
      <c r="C147" s="1" t="n">
        <v>45584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26763-2020</t>
        </is>
      </c>
      <c r="B148" s="1" t="n">
        <v>43990</v>
      </c>
      <c r="C148" s="1" t="n">
        <v>45584</v>
      </c>
      <c r="D148" t="inlineStr">
        <is>
          <t>GÄVLEBORGS LÄN</t>
        </is>
      </c>
      <c r="E148" t="inlineStr">
        <is>
          <t>GÄVLE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26790-2020</t>
        </is>
      </c>
      <c r="B149" s="1" t="n">
        <v>43990</v>
      </c>
      <c r="C149" s="1" t="n">
        <v>45584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26781-2020</t>
        </is>
      </c>
      <c r="B150" s="1" t="n">
        <v>43990</v>
      </c>
      <c r="C150" s="1" t="n">
        <v>45584</v>
      </c>
      <c r="D150" t="inlineStr">
        <is>
          <t>GÄVLEBORGS LÄN</t>
        </is>
      </c>
      <c r="E150" t="inlineStr">
        <is>
          <t>GÄVLE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28173-2020</t>
        </is>
      </c>
      <c r="B151" s="1" t="n">
        <v>43997</v>
      </c>
      <c r="C151" s="1" t="n">
        <v>45584</v>
      </c>
      <c r="D151" t="inlineStr">
        <is>
          <t>GÄVLEBORGS LÄN</t>
        </is>
      </c>
      <c r="E151" t="inlineStr">
        <is>
          <t>GÄVLE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28806-2020</t>
        </is>
      </c>
      <c r="B152" s="1" t="n">
        <v>44000</v>
      </c>
      <c r="C152" s="1" t="n">
        <v>45584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28825-2020</t>
        </is>
      </c>
      <c r="B153" s="1" t="n">
        <v>44000</v>
      </c>
      <c r="C153" s="1" t="n">
        <v>45584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29564-2020</t>
        </is>
      </c>
      <c r="B154" s="1" t="n">
        <v>44005</v>
      </c>
      <c r="C154" s="1" t="n">
        <v>45584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29940-2020</t>
        </is>
      </c>
      <c r="B155" s="1" t="n">
        <v>44006</v>
      </c>
      <c r="C155" s="1" t="n">
        <v>45584</v>
      </c>
      <c r="D155" t="inlineStr">
        <is>
          <t>GÄVLEBORGS LÄN</t>
        </is>
      </c>
      <c r="E155" t="inlineStr">
        <is>
          <t>GÄVLE</t>
        </is>
      </c>
      <c r="F155" t="inlineStr">
        <is>
          <t>Kommuner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30658-2020</t>
        </is>
      </c>
      <c r="B156" s="1" t="n">
        <v>44008</v>
      </c>
      <c r="C156" s="1" t="n">
        <v>45584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30851-2020</t>
        </is>
      </c>
      <c r="B157" s="1" t="n">
        <v>44011</v>
      </c>
      <c r="C157" s="1" t="n">
        <v>45584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31747-2020</t>
        </is>
      </c>
      <c r="B158" s="1" t="n">
        <v>44014</v>
      </c>
      <c r="C158" s="1" t="n">
        <v>45584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32223-2020</t>
        </is>
      </c>
      <c r="B159" s="1" t="n">
        <v>44015</v>
      </c>
      <c r="C159" s="1" t="n">
        <v>45584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32231-2020</t>
        </is>
      </c>
      <c r="B160" s="1" t="n">
        <v>44015</v>
      </c>
      <c r="C160" s="1" t="n">
        <v>45584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33351-2020</t>
        </is>
      </c>
      <c r="B161" s="1" t="n">
        <v>44022</v>
      </c>
      <c r="C161" s="1" t="n">
        <v>45584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33893-2020</t>
        </is>
      </c>
      <c r="B162" s="1" t="n">
        <v>44025</v>
      </c>
      <c r="C162" s="1" t="n">
        <v>45584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33755-2020</t>
        </is>
      </c>
      <c r="B163" s="1" t="n">
        <v>44026</v>
      </c>
      <c r="C163" s="1" t="n">
        <v>45584</v>
      </c>
      <c r="D163" t="inlineStr">
        <is>
          <t>GÄVLEBORGS LÄN</t>
        </is>
      </c>
      <c r="E163" t="inlineStr">
        <is>
          <t>GÄVLE</t>
        </is>
      </c>
      <c r="F163" t="inlineStr">
        <is>
          <t>Kommuner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35533-2020</t>
        </is>
      </c>
      <c r="B164" s="1" t="n">
        <v>44043</v>
      </c>
      <c r="C164" s="1" t="n">
        <v>45584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37604-2020</t>
        </is>
      </c>
      <c r="B165" s="1" t="n">
        <v>44056</v>
      </c>
      <c r="C165" s="1" t="n">
        <v>45584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37721-2020</t>
        </is>
      </c>
      <c r="B166" s="1" t="n">
        <v>44056</v>
      </c>
      <c r="C166" s="1" t="n">
        <v>45584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37717-2020</t>
        </is>
      </c>
      <c r="B167" s="1" t="n">
        <v>44056</v>
      </c>
      <c r="C167" s="1" t="n">
        <v>45584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38300-2020</t>
        </is>
      </c>
      <c r="B168" s="1" t="n">
        <v>44060</v>
      </c>
      <c r="C168" s="1" t="n">
        <v>45584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38305-2020</t>
        </is>
      </c>
      <c r="B169" s="1" t="n">
        <v>44060</v>
      </c>
      <c r="C169" s="1" t="n">
        <v>45584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38926-2020</t>
        </is>
      </c>
      <c r="B170" s="1" t="n">
        <v>44062</v>
      </c>
      <c r="C170" s="1" t="n">
        <v>45584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39798-2020</t>
        </is>
      </c>
      <c r="B171" s="1" t="n">
        <v>44067</v>
      </c>
      <c r="C171" s="1" t="n">
        <v>45584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40087-2020</t>
        </is>
      </c>
      <c r="B172" s="1" t="n">
        <v>44068</v>
      </c>
      <c r="C172" s="1" t="n">
        <v>45584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40340-2020</t>
        </is>
      </c>
      <c r="B173" s="1" t="n">
        <v>44068</v>
      </c>
      <c r="C173" s="1" t="n">
        <v>45584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40626-2020</t>
        </is>
      </c>
      <c r="B174" s="1" t="n">
        <v>44069</v>
      </c>
      <c r="C174" s="1" t="n">
        <v>45584</v>
      </c>
      <c r="D174" t="inlineStr">
        <is>
          <t>GÄVLEBORGS LÄN</t>
        </is>
      </c>
      <c r="E174" t="inlineStr">
        <is>
          <t>GÄVLE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42357-2020</t>
        </is>
      </c>
      <c r="B175" s="1" t="n">
        <v>44076</v>
      </c>
      <c r="C175" s="1" t="n">
        <v>45584</v>
      </c>
      <c r="D175" t="inlineStr">
        <is>
          <t>GÄVLEBORGS LÄN</t>
        </is>
      </c>
      <c r="E175" t="inlineStr">
        <is>
          <t>GÄVLE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42351-2020</t>
        </is>
      </c>
      <c r="B176" s="1" t="n">
        <v>44076</v>
      </c>
      <c r="C176" s="1" t="n">
        <v>45584</v>
      </c>
      <c r="D176" t="inlineStr">
        <is>
          <t>GÄVLEBORGS LÄN</t>
        </is>
      </c>
      <c r="E176" t="inlineStr">
        <is>
          <t>GÄVLE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42356-2020</t>
        </is>
      </c>
      <c r="B177" s="1" t="n">
        <v>44076</v>
      </c>
      <c r="C177" s="1" t="n">
        <v>45584</v>
      </c>
      <c r="D177" t="inlineStr">
        <is>
          <t>GÄVLEBORGS LÄN</t>
        </is>
      </c>
      <c r="E177" t="inlineStr">
        <is>
          <t>GÄVLE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42868-2020</t>
        </is>
      </c>
      <c r="B178" s="1" t="n">
        <v>44078</v>
      </c>
      <c r="C178" s="1" t="n">
        <v>45584</v>
      </c>
      <c r="D178" t="inlineStr">
        <is>
          <t>GÄVLEBORGS LÄN</t>
        </is>
      </c>
      <c r="E178" t="inlineStr">
        <is>
          <t>GÄVLE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43385-2020</t>
        </is>
      </c>
      <c r="B179" s="1" t="n">
        <v>44081</v>
      </c>
      <c r="C179" s="1" t="n">
        <v>45584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43185-2020</t>
        </is>
      </c>
      <c r="B180" s="1" t="n">
        <v>44081</v>
      </c>
      <c r="C180" s="1" t="n">
        <v>45584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44350-2020</t>
        </is>
      </c>
      <c r="B181" s="1" t="n">
        <v>44084</v>
      </c>
      <c r="C181" s="1" t="n">
        <v>45584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46455-2020</t>
        </is>
      </c>
      <c r="B182" s="1" t="n">
        <v>44095</v>
      </c>
      <c r="C182" s="1" t="n">
        <v>45584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46694-2020</t>
        </is>
      </c>
      <c r="B183" s="1" t="n">
        <v>44095</v>
      </c>
      <c r="C183" s="1" t="n">
        <v>45584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46708-2020</t>
        </is>
      </c>
      <c r="B184" s="1" t="n">
        <v>44095</v>
      </c>
      <c r="C184" s="1" t="n">
        <v>45584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46444-2020</t>
        </is>
      </c>
      <c r="B185" s="1" t="n">
        <v>44095</v>
      </c>
      <c r="C185" s="1" t="n">
        <v>45584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46898-2020</t>
        </is>
      </c>
      <c r="B186" s="1" t="n">
        <v>44096</v>
      </c>
      <c r="C186" s="1" t="n">
        <v>45584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46925-2020</t>
        </is>
      </c>
      <c r="B187" s="1" t="n">
        <v>44096</v>
      </c>
      <c r="C187" s="1" t="n">
        <v>45584</v>
      </c>
      <c r="D187" t="inlineStr">
        <is>
          <t>GÄVLEBORGS LÄN</t>
        </is>
      </c>
      <c r="E187" t="inlineStr">
        <is>
          <t>GÄVLE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47543-2020</t>
        </is>
      </c>
      <c r="B188" s="1" t="n">
        <v>44098</v>
      </c>
      <c r="C188" s="1" t="n">
        <v>45584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50216-2020</t>
        </is>
      </c>
      <c r="B189" s="1" t="n">
        <v>44109</v>
      </c>
      <c r="C189" s="1" t="n">
        <v>45584</v>
      </c>
      <c r="D189" t="inlineStr">
        <is>
          <t>GÄVLEBORGS LÄN</t>
        </is>
      </c>
      <c r="E189" t="inlineStr">
        <is>
          <t>GÄVLE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51121-2020</t>
        </is>
      </c>
      <c r="B190" s="1" t="n">
        <v>44112</v>
      </c>
      <c r="C190" s="1" t="n">
        <v>45584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51126-2020</t>
        </is>
      </c>
      <c r="B191" s="1" t="n">
        <v>44112</v>
      </c>
      <c r="C191" s="1" t="n">
        <v>45584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52790-2020</t>
        </is>
      </c>
      <c r="B192" s="1" t="n">
        <v>44118</v>
      </c>
      <c r="C192" s="1" t="n">
        <v>45584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53470-2020</t>
        </is>
      </c>
      <c r="B193" s="1" t="n">
        <v>44123</v>
      </c>
      <c r="C193" s="1" t="n">
        <v>45584</v>
      </c>
      <c r="D193" t="inlineStr">
        <is>
          <t>GÄVLEBORGS LÄN</t>
        </is>
      </c>
      <c r="E193" t="inlineStr">
        <is>
          <t>GÄVLE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53517-2020</t>
        </is>
      </c>
      <c r="B194" s="1" t="n">
        <v>44124</v>
      </c>
      <c r="C194" s="1" t="n">
        <v>45584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54031-2020</t>
        </is>
      </c>
      <c r="B195" s="1" t="n">
        <v>44125</v>
      </c>
      <c r="C195" s="1" t="n">
        <v>45584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54053-2020</t>
        </is>
      </c>
      <c r="B196" s="1" t="n">
        <v>44125</v>
      </c>
      <c r="C196" s="1" t="n">
        <v>45584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54065-2020</t>
        </is>
      </c>
      <c r="B197" s="1" t="n">
        <v>44125</v>
      </c>
      <c r="C197" s="1" t="n">
        <v>45584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54249-2020</t>
        </is>
      </c>
      <c r="B198" s="1" t="n">
        <v>44126</v>
      </c>
      <c r="C198" s="1" t="n">
        <v>45584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54294-2020</t>
        </is>
      </c>
      <c r="B199" s="1" t="n">
        <v>44126</v>
      </c>
      <c r="C199" s="1" t="n">
        <v>45584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54616-2020</t>
        </is>
      </c>
      <c r="B200" s="1" t="n">
        <v>44127</v>
      </c>
      <c r="C200" s="1" t="n">
        <v>45584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54624-2020</t>
        </is>
      </c>
      <c r="B201" s="1" t="n">
        <v>44127</v>
      </c>
      <c r="C201" s="1" t="n">
        <v>45584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54620-2020</t>
        </is>
      </c>
      <c r="B202" s="1" t="n">
        <v>44127</v>
      </c>
      <c r="C202" s="1" t="n">
        <v>45584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54638-2020</t>
        </is>
      </c>
      <c r="B203" s="1" t="n">
        <v>44127</v>
      </c>
      <c r="C203" s="1" t="n">
        <v>45584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56221-2020</t>
        </is>
      </c>
      <c r="B204" s="1" t="n">
        <v>44134</v>
      </c>
      <c r="C204" s="1" t="n">
        <v>45584</v>
      </c>
      <c r="D204" t="inlineStr">
        <is>
          <t>GÄVLEBORGS LÄN</t>
        </is>
      </c>
      <c r="E204" t="inlineStr">
        <is>
          <t>GÄVLE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57535-2020</t>
        </is>
      </c>
      <c r="B205" s="1" t="n">
        <v>44140</v>
      </c>
      <c r="C205" s="1" t="n">
        <v>45584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57702-2020</t>
        </is>
      </c>
      <c r="B206" s="1" t="n">
        <v>44140</v>
      </c>
      <c r="C206" s="1" t="n">
        <v>45584</v>
      </c>
      <c r="D206" t="inlineStr">
        <is>
          <t>GÄVLEBORGS LÄN</t>
        </is>
      </c>
      <c r="E206" t="inlineStr">
        <is>
          <t>GÄVLE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57706-2020</t>
        </is>
      </c>
      <c r="B207" s="1" t="n">
        <v>44140</v>
      </c>
      <c r="C207" s="1" t="n">
        <v>45584</v>
      </c>
      <c r="D207" t="inlineStr">
        <is>
          <t>GÄVLEBORGS LÄN</t>
        </is>
      </c>
      <c r="E207" t="inlineStr">
        <is>
          <t>GÄVLE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58189-2020</t>
        </is>
      </c>
      <c r="B208" s="1" t="n">
        <v>44144</v>
      </c>
      <c r="C208" s="1" t="n">
        <v>45584</v>
      </c>
      <c r="D208" t="inlineStr">
        <is>
          <t>GÄVLEBORGS LÄN</t>
        </is>
      </c>
      <c r="E208" t="inlineStr">
        <is>
          <t>GÄVLE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58690-2020</t>
        </is>
      </c>
      <c r="B209" s="1" t="n">
        <v>44146</v>
      </c>
      <c r="C209" s="1" t="n">
        <v>45584</v>
      </c>
      <c r="D209" t="inlineStr">
        <is>
          <t>GÄVLEBORGS LÄN</t>
        </is>
      </c>
      <c r="E209" t="inlineStr">
        <is>
          <t>GÄVLE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59072-2020</t>
        </is>
      </c>
      <c r="B210" s="1" t="n">
        <v>44147</v>
      </c>
      <c r="C210" s="1" t="n">
        <v>45584</v>
      </c>
      <c r="D210" t="inlineStr">
        <is>
          <t>GÄVLEBORGS LÄN</t>
        </is>
      </c>
      <c r="E210" t="inlineStr">
        <is>
          <t>GÄVLE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60249-2020</t>
        </is>
      </c>
      <c r="B211" s="1" t="n">
        <v>44152</v>
      </c>
      <c r="C211" s="1" t="n">
        <v>45584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60951-2020</t>
        </is>
      </c>
      <c r="B212" s="1" t="n">
        <v>44154</v>
      </c>
      <c r="C212" s="1" t="n">
        <v>45584</v>
      </c>
      <c r="D212" t="inlineStr">
        <is>
          <t>GÄVLEBORGS LÄN</t>
        </is>
      </c>
      <c r="E212" t="inlineStr">
        <is>
          <t>GÄVLE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60953-2020</t>
        </is>
      </c>
      <c r="B213" s="1" t="n">
        <v>44154</v>
      </c>
      <c r="C213" s="1" t="n">
        <v>45584</v>
      </c>
      <c r="D213" t="inlineStr">
        <is>
          <t>GÄVLEBORGS LÄN</t>
        </is>
      </c>
      <c r="E213" t="inlineStr">
        <is>
          <t>GÄVLE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61694-2020</t>
        </is>
      </c>
      <c r="B214" s="1" t="n">
        <v>44158</v>
      </c>
      <c r="C214" s="1" t="n">
        <v>45584</v>
      </c>
      <c r="D214" t="inlineStr">
        <is>
          <t>GÄVLEBORGS LÄN</t>
        </is>
      </c>
      <c r="E214" t="inlineStr">
        <is>
          <t>GÄVLE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61704-2020</t>
        </is>
      </c>
      <c r="B215" s="1" t="n">
        <v>44158</v>
      </c>
      <c r="C215" s="1" t="n">
        <v>45584</v>
      </c>
      <c r="D215" t="inlineStr">
        <is>
          <t>GÄVLEBORGS LÄN</t>
        </is>
      </c>
      <c r="E215" t="inlineStr">
        <is>
          <t>GÄVLE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62495-2020</t>
        </is>
      </c>
      <c r="B216" s="1" t="n">
        <v>44160</v>
      </c>
      <c r="C216" s="1" t="n">
        <v>45584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62654-2020</t>
        </is>
      </c>
      <c r="B217" s="1" t="n">
        <v>44161</v>
      </c>
      <c r="C217" s="1" t="n">
        <v>45584</v>
      </c>
      <c r="D217" t="inlineStr">
        <is>
          <t>GÄVLEBORGS LÄN</t>
        </is>
      </c>
      <c r="E217" t="inlineStr">
        <is>
          <t>GÄVLE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62986-2020</t>
        </is>
      </c>
      <c r="B218" s="1" t="n">
        <v>44162</v>
      </c>
      <c r="C218" s="1" t="n">
        <v>45584</v>
      </c>
      <c r="D218" t="inlineStr">
        <is>
          <t>GÄVLEBORGS LÄN</t>
        </is>
      </c>
      <c r="E218" t="inlineStr">
        <is>
          <t>GÄVLE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66006-2020</t>
        </is>
      </c>
      <c r="B219" s="1" t="n">
        <v>44175</v>
      </c>
      <c r="C219" s="1" t="n">
        <v>45584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66346-2020</t>
        </is>
      </c>
      <c r="B220" s="1" t="n">
        <v>44176</v>
      </c>
      <c r="C220" s="1" t="n">
        <v>45584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66343-2020</t>
        </is>
      </c>
      <c r="B221" s="1" t="n">
        <v>44176</v>
      </c>
      <c r="C221" s="1" t="n">
        <v>45584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69210-2020</t>
        </is>
      </c>
      <c r="B222" s="1" t="n">
        <v>44191</v>
      </c>
      <c r="C222" s="1" t="n">
        <v>45584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69206-2020</t>
        </is>
      </c>
      <c r="B223" s="1" t="n">
        <v>44191</v>
      </c>
      <c r="C223" s="1" t="n">
        <v>45584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69216-2020</t>
        </is>
      </c>
      <c r="B224" s="1" t="n">
        <v>44192</v>
      </c>
      <c r="C224" s="1" t="n">
        <v>45584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69254-2020</t>
        </is>
      </c>
      <c r="B225" s="1" t="n">
        <v>44192</v>
      </c>
      <c r="C225" s="1" t="n">
        <v>45584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69252-2020</t>
        </is>
      </c>
      <c r="B226" s="1" t="n">
        <v>44192</v>
      </c>
      <c r="C226" s="1" t="n">
        <v>45584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69215-2020</t>
        </is>
      </c>
      <c r="B227" s="1" t="n">
        <v>44192</v>
      </c>
      <c r="C227" s="1" t="n">
        <v>45584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69253-2020</t>
        </is>
      </c>
      <c r="B228" s="1" t="n">
        <v>44192</v>
      </c>
      <c r="C228" s="1" t="n">
        <v>45584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69219-2020</t>
        </is>
      </c>
      <c r="B229" s="1" t="n">
        <v>44192</v>
      </c>
      <c r="C229" s="1" t="n">
        <v>45584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69251-2020</t>
        </is>
      </c>
      <c r="B230" s="1" t="n">
        <v>44192</v>
      </c>
      <c r="C230" s="1" t="n">
        <v>45584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45584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45584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45584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45584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45584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45584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45584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45584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45584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45584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45584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45584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45584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45584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45584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45584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45584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45584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45584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45584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45584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45584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45584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45584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45584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45584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45584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45584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45584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45584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45584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45584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45584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45584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45584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45584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45584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45584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45584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45584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45584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45584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45584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45584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45584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45584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45584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45584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45584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45584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45584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45584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45584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45584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45584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45584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45584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45584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45584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45584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45584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45584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45584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45584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45584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45584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45584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45584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45584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45584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45584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45584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45584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45584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45584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45584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45584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45584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45584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45584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45584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45584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45584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45584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45584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45584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45584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45584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45584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45584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45584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45584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45584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45584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45584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45584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45584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45584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45584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45584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45584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45584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45584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45584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45584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45584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45584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45584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45584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45584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45584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45584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45584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45584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45584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45584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45584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45584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45584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45584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45584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45584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45584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45584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45584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45584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45584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45584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45584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45584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45584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45584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45584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45584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45584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45584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45584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45584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45584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45584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45584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45584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45584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45584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45584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45584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45584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45584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45584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45584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45584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45584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45584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45584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45584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45584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45584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45584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45584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45584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45584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45584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45584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45584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45584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45584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45584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45584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45584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45584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45584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45584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45584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45584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45584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45584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45584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45584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45584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45584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45584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45584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45584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45584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45584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45584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45584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45584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45584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45584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45584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45584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45584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45584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45584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45584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45584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45584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45584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45584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45584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45584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45584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45584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45584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45584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45584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45584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45584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45584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45584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45584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45584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45584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45584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45584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45584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45584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45584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45584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45584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45584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45584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45584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45584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45584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45584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45584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45584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45584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45584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45584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45584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45584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45584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45584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45584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45584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45584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45584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45584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45584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45584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45584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45584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45584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45584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45584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45584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45584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45584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45584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45584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45584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45584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45584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45584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45584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45584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45584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45584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45584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45584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45584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45584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45584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45584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45584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45584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45584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45584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45584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45584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45584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45584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45584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45584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45584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45584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45584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45584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45584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45584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45584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45584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45584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45584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45584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45584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45584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45584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45584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45584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45584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45584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45584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45584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45584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45584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45584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45584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45584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45584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45584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45584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45584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45584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45584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45584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45584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45584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45584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45584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45584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45584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45584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45584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45584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45584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45584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45584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45584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45584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45584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45584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45584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45584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45584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45584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45584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45584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45584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45584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45584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45584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45584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45584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45584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45584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45584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45584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45584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45584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45584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45584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45584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45584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45584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45584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45584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45584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45584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45584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45584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45584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45584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45584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45584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45584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45584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45584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45584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45584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45584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45584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45584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45584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45584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45584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45584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45584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45584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45584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45584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45584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45584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45584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45584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45584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45584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45584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45584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45584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45584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45584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45584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45584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45584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45584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45584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45584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45584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45584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45584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45584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45584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45584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45584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45584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45584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45584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45584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45584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45584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45584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45584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45584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45584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45584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45584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45584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45584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45584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45584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45584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45584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45584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45584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45584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45584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45584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45584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45584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45584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45584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45584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45584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45584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45584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45584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45584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45584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45584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45584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45584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45584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45584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45584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45584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45584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45584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45584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45584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45584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45584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45584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45584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45584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45584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45584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45584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45584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45584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45584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45584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45584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45584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45584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45584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45584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45584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45584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45584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45584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45584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45584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45584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45584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45584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45584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45584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45584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45584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45584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45584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45584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45584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45584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45584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45584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45584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45584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45584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45584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45584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45584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45584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45584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45584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45584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45584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45584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45584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45584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45584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45584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45584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45584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45584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45584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45584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45584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45584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45584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45584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45584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45584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45584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45584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45584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45584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45584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45584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45584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45584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45584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45584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45584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45584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45584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45584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45584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45584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45584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45584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45584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45584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45584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45584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45584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45584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45584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45584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45584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45584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45584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45584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45584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45584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45584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45584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45584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45584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45584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45584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45584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45584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45584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45584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45584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45584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45584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45584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45584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45584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45584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45584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45584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45584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45584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45584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45584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45584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45584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45584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45584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45584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45584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45584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45584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45584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45584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45584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45584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45584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45584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45584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45584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45584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45584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45584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45584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45584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45584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45584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45584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45584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45584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45584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45584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45584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45584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45584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45584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45584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45584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45584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45584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45584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45584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45584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45584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45584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45584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45584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45584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45584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45584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45584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45584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45584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45584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45584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45584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45584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45584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45584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45584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45584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45584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45584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45584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45584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45584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45584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45584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45584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45584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45584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45584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45584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45584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45584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45584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45584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45584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45584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45584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45584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45584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45584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45584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45584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45584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45584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45584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45584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45584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45584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45584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45584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45584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45584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45584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45584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45584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45584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45584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45584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45584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45584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45584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45584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45584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45584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45584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45584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45584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45584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45584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45584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45584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45584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45584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45584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45584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45584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45584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45584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45584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45584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45584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45584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45584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45584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45584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45584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45584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45584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45584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45584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45584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45584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45584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45584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45584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45584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45584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45584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45584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45584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45584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45584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45584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45584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45584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45584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45584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45584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45584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45584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45584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45584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45584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45584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45584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45584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45584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45584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45584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45584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45584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45584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45584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45584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45584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45584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45584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45584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45584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45584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45584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45584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45584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45584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45584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45584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45584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45584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45584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45584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45584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45584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45584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45584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45584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45584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45584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45584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45584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45584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45584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45584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45584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45584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45584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45584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45584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45584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45584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45584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45584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45584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45584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45584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45584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45584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45584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45584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45584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45584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45584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45584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45584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45584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45584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45584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45584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45584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45584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45584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45584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45584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45584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45584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45584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45584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45584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45584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45584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45584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45584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45584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45584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45584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45584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45584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45584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45584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45584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45584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45584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45584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45584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45584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45584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45584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38793-2024</t>
        </is>
      </c>
      <c r="B1038" s="1" t="n">
        <v>45547</v>
      </c>
      <c r="C1038" s="1" t="n">
        <v>45584</v>
      </c>
      <c r="D1038" t="inlineStr">
        <is>
          <t>GÄVLEBORGS LÄN</t>
        </is>
      </c>
      <c r="E1038" t="inlineStr">
        <is>
          <t>GÄVLE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38673-2024</t>
        </is>
      </c>
      <c r="B1039" s="1" t="n">
        <v>45547</v>
      </c>
      <c r="C1039" s="1" t="n">
        <v>45584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45584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45584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45584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39999-2024</t>
        </is>
      </c>
      <c r="B1043" s="1" t="n">
        <v>45553</v>
      </c>
      <c r="C1043" s="1" t="n">
        <v>45584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39804-2024</t>
        </is>
      </c>
      <c r="B1044" s="1" t="n">
        <v>45553</v>
      </c>
      <c r="C1044" s="1" t="n">
        <v>45584</v>
      </c>
      <c r="D1044" t="inlineStr">
        <is>
          <t>GÄVLEBORGS LÄN</t>
        </is>
      </c>
      <c r="E1044" t="inlineStr">
        <is>
          <t>GÄVLE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45584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45584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45584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45584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45584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41100-2024</t>
        </is>
      </c>
      <c r="B1050" s="1" t="n">
        <v>45559</v>
      </c>
      <c r="C1050" s="1" t="n">
        <v>45584</v>
      </c>
      <c r="D1050" t="inlineStr">
        <is>
          <t>GÄVLEBORGS LÄN</t>
        </is>
      </c>
      <c r="E1050" t="inlineStr">
        <is>
          <t>GÄVLE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45584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45584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41453-2024</t>
        </is>
      </c>
      <c r="B1053" s="1" t="n">
        <v>45560</v>
      </c>
      <c r="C1053" s="1" t="n">
        <v>45584</v>
      </c>
      <c r="D1053" t="inlineStr">
        <is>
          <t>GÄVLEBORGS LÄN</t>
        </is>
      </c>
      <c r="E1053" t="inlineStr">
        <is>
          <t>GÄVLE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41525-2024</t>
        </is>
      </c>
      <c r="B1054" s="1" t="n">
        <v>45560</v>
      </c>
      <c r="C1054" s="1" t="n">
        <v>45584</v>
      </c>
      <c r="D1054" t="inlineStr">
        <is>
          <t>GÄVLEBORGS LÄN</t>
        </is>
      </c>
      <c r="E1054" t="inlineStr">
        <is>
          <t>GÄVLE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45584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42247-2024</t>
        </is>
      </c>
      <c r="B1056" s="1" t="n">
        <v>45562</v>
      </c>
      <c r="C1056" s="1" t="n">
        <v>45584</v>
      </c>
      <c r="D1056" t="inlineStr">
        <is>
          <t>GÄVLEBORGS LÄN</t>
        </is>
      </c>
      <c r="E1056" t="inlineStr">
        <is>
          <t>GÄVLE</t>
        </is>
      </c>
      <c r="G1056" t="n">
        <v>14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42360-2024</t>
        </is>
      </c>
      <c r="B1057" s="1" t="n">
        <v>45562</v>
      </c>
      <c r="C1057" s="1" t="n">
        <v>45584</v>
      </c>
      <c r="D1057" t="inlineStr">
        <is>
          <t>GÄVLEBORGS LÄN</t>
        </is>
      </c>
      <c r="E1057" t="inlineStr">
        <is>
          <t>GÄVLE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45584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43005-2024</t>
        </is>
      </c>
      <c r="B1059" s="1" t="n">
        <v>45567</v>
      </c>
      <c r="C1059" s="1" t="n">
        <v>45584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43007-2024</t>
        </is>
      </c>
      <c r="B1060" s="1" t="n">
        <v>45567</v>
      </c>
      <c r="C1060" s="1" t="n">
        <v>45584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43230-2024</t>
        </is>
      </c>
      <c r="B1061" s="1" t="n">
        <v>45567</v>
      </c>
      <c r="C1061" s="1" t="n">
        <v>45584</v>
      </c>
      <c r="D1061" t="inlineStr">
        <is>
          <t>GÄVLEBORGS LÄN</t>
        </is>
      </c>
      <c r="E1061" t="inlineStr">
        <is>
          <t>GÄVLE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43661-2024</t>
        </is>
      </c>
      <c r="B1062" s="1" t="n">
        <v>45569</v>
      </c>
      <c r="C1062" s="1" t="n">
        <v>45584</v>
      </c>
      <c r="D1062" t="inlineStr">
        <is>
          <t>GÄVLEBORGS LÄN</t>
        </is>
      </c>
      <c r="E1062" t="inlineStr">
        <is>
          <t>GÄVLE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43652-2024</t>
        </is>
      </c>
      <c r="B1063" s="1" t="n">
        <v>45569</v>
      </c>
      <c r="C1063" s="1" t="n">
        <v>45584</v>
      </c>
      <c r="D1063" t="inlineStr">
        <is>
          <t>GÄVLEBORGS LÄN</t>
        </is>
      </c>
      <c r="E1063" t="inlineStr">
        <is>
          <t>GÄVLE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43686-2024</t>
        </is>
      </c>
      <c r="B1064" s="1" t="n">
        <v>45569</v>
      </c>
      <c r="C1064" s="1" t="n">
        <v>45584</v>
      </c>
      <c r="D1064" t="inlineStr">
        <is>
          <t>GÄVLEBORGS LÄN</t>
        </is>
      </c>
      <c r="E1064" t="inlineStr">
        <is>
          <t>GÄVLE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44556-2024</t>
        </is>
      </c>
      <c r="B1065" s="1" t="n">
        <v>45574</v>
      </c>
      <c r="C1065" s="1" t="n">
        <v>45584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44790-2024</t>
        </is>
      </c>
      <c r="B1066" s="1" t="n">
        <v>45574</v>
      </c>
      <c r="C1066" s="1" t="n">
        <v>45584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44802-2024</t>
        </is>
      </c>
      <c r="B1067" s="1" t="n">
        <v>45574</v>
      </c>
      <c r="C1067" s="1" t="n">
        <v>45584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44806-2024</t>
        </is>
      </c>
      <c r="B1068" s="1" t="n">
        <v>45574</v>
      </c>
      <c r="C1068" s="1" t="n">
        <v>45584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44434-2024</t>
        </is>
      </c>
      <c r="B1069" s="1" t="n">
        <v>45574</v>
      </c>
      <c r="C1069" s="1" t="n">
        <v>45584</v>
      </c>
      <c r="D1069" t="inlineStr">
        <is>
          <t>GÄVLEBORGS LÄN</t>
        </is>
      </c>
      <c r="E1069" t="inlineStr">
        <is>
          <t>GÄVLE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44800-2024</t>
        </is>
      </c>
      <c r="B1070" s="1" t="n">
        <v>45574</v>
      </c>
      <c r="C1070" s="1" t="n">
        <v>45584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44843-2024</t>
        </is>
      </c>
      <c r="B1071" s="1" t="n">
        <v>45574</v>
      </c>
      <c r="C1071" s="1" t="n">
        <v>45584</v>
      </c>
      <c r="D1071" t="inlineStr">
        <is>
          <t>GÄVLEBORGS LÄN</t>
        </is>
      </c>
      <c r="E1071" t="inlineStr">
        <is>
          <t>GÄVLE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44791-2024</t>
        </is>
      </c>
      <c r="B1072" s="1" t="n">
        <v>45574</v>
      </c>
      <c r="C1072" s="1" t="n">
        <v>45584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44795-2024</t>
        </is>
      </c>
      <c r="B1073" s="1" t="n">
        <v>45574</v>
      </c>
      <c r="C1073" s="1" t="n">
        <v>45584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44914-2024</t>
        </is>
      </c>
      <c r="B1074" s="1" t="n">
        <v>45575</v>
      </c>
      <c r="C1074" s="1" t="n">
        <v>45584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44913-2024</t>
        </is>
      </c>
      <c r="B1075" s="1" t="n">
        <v>45575</v>
      </c>
      <c r="C1075" s="1" t="n">
        <v>45584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45029-2024</t>
        </is>
      </c>
      <c r="B1076" s="1" t="n">
        <v>45575</v>
      </c>
      <c r="C1076" s="1" t="n">
        <v>45584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45373-2024</t>
        </is>
      </c>
      <c r="B1077" s="1" t="n">
        <v>45576</v>
      </c>
      <c r="C1077" s="1" t="n">
        <v>45584</v>
      </c>
      <c r="D1077" t="inlineStr">
        <is>
          <t>GÄVLEBORGS LÄN</t>
        </is>
      </c>
      <c r="E1077" t="inlineStr">
        <is>
          <t>GÄVLE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45566-2024</t>
        </is>
      </c>
      <c r="B1078" s="1" t="n">
        <v>45579</v>
      </c>
      <c r="C1078" s="1" t="n">
        <v>45584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45938-2024</t>
        </is>
      </c>
      <c r="B1079" s="1" t="n">
        <v>45580</v>
      </c>
      <c r="C1079" s="1" t="n">
        <v>45584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45965-2024</t>
        </is>
      </c>
      <c r="B1080" s="1" t="n">
        <v>45580</v>
      </c>
      <c r="C1080" s="1" t="n">
        <v>45584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46115-2024</t>
        </is>
      </c>
      <c r="B1081" s="1" t="n">
        <v>45581</v>
      </c>
      <c r="C1081" s="1" t="n">
        <v>45584</v>
      </c>
      <c r="D1081" t="inlineStr">
        <is>
          <t>GÄVLEBORGS LÄN</t>
        </is>
      </c>
      <c r="E1081" t="inlineStr">
        <is>
          <t>GÄVLE</t>
        </is>
      </c>
      <c r="F1081" t="inlineStr">
        <is>
          <t>Kyrkan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46217-2024</t>
        </is>
      </c>
      <c r="B1082" s="1" t="n">
        <v>45581</v>
      </c>
      <c r="C1082" s="1" t="n">
        <v>45584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15.2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46449-2024</t>
        </is>
      </c>
      <c r="B1083" s="1" t="n">
        <v>45582</v>
      </c>
      <c r="C1083" s="1" t="n">
        <v>45584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46400-2024</t>
        </is>
      </c>
      <c r="B1084" s="1" t="n">
        <v>45582</v>
      </c>
      <c r="C1084" s="1" t="n">
        <v>45584</v>
      </c>
      <c r="D1084" t="inlineStr">
        <is>
          <t>GÄVLEBORGS LÄN</t>
        </is>
      </c>
      <c r="E1084" t="inlineStr">
        <is>
          <t>GÄVLE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46660-2024</t>
        </is>
      </c>
      <c r="B1085" s="1" t="n">
        <v>45583</v>
      </c>
      <c r="C1085" s="1" t="n">
        <v>45584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8.199999999999999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46725-2024</t>
        </is>
      </c>
      <c r="B1086" s="1" t="n">
        <v>45583</v>
      </c>
      <c r="C1086" s="1" t="n">
        <v>45584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46744-2024</t>
        </is>
      </c>
      <c r="B1087" s="1" t="n">
        <v>45583</v>
      </c>
      <c r="C1087" s="1" t="n">
        <v>45584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46690-2024</t>
        </is>
      </c>
      <c r="B1088" s="1" t="n">
        <v>45583</v>
      </c>
      <c r="C1088" s="1" t="n">
        <v>45584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46719-2024</t>
        </is>
      </c>
      <c r="B1089" s="1" t="n">
        <v>45583</v>
      </c>
      <c r="C1089" s="1" t="n">
        <v>45584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2024-10-19T12:24:14Z</dcterms:created>
  <dcterms:modified xmlns:dcterms="http://purl.org/dc/terms/" xmlns:xsi="http://www.w3.org/2001/XMLSchema-instance" xsi:type="dcterms:W3CDTF">2024-10-19T12:24:15Z</dcterms:modified>
</cp:coreProperties>
</file>